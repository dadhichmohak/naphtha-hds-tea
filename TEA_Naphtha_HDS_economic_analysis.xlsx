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arav\Documents\aspen-petrol\"/>
    </mc:Choice>
  </mc:AlternateContent>
  <xr:revisionPtr revIDLastSave="0" documentId="8_{CFD1DF98-6CAC-40B8-9FEE-CE5E192BAA3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Assumptions" sheetId="1" r:id="rId1"/>
    <sheet name="CAPEX" sheetId="2" r:id="rId2"/>
    <sheet name="OPEX" sheetId="3" r:id="rId3"/>
    <sheet name="Profitability" sheetId="4" r:id="rId4"/>
    <sheet name="Sensitivit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6" i="5" l="1"/>
  <c r="B33" i="5"/>
  <c r="B19" i="5"/>
  <c r="F10" i="5"/>
  <c r="F9" i="5"/>
  <c r="F8" i="5"/>
  <c r="F7" i="5"/>
  <c r="B7" i="5"/>
  <c r="B73" i="4"/>
  <c r="H57" i="4"/>
  <c r="H56" i="4"/>
  <c r="H55" i="4"/>
  <c r="H54" i="4"/>
  <c r="H53" i="4"/>
  <c r="H52" i="4"/>
  <c r="L51" i="4"/>
  <c r="H51" i="4"/>
  <c r="H50" i="4"/>
  <c r="L49" i="4"/>
  <c r="H49" i="4"/>
  <c r="H48" i="4"/>
  <c r="H47" i="4"/>
  <c r="H46" i="4"/>
  <c r="H45" i="4"/>
  <c r="H44" i="4"/>
  <c r="H43" i="4"/>
  <c r="L42" i="4"/>
  <c r="H42" i="4"/>
  <c r="L41" i="4"/>
  <c r="H41" i="4"/>
  <c r="L40" i="4"/>
  <c r="H40" i="4"/>
  <c r="L39" i="4"/>
  <c r="H39" i="4"/>
  <c r="L38" i="4"/>
  <c r="H38" i="4"/>
  <c r="B38" i="4"/>
  <c r="B32" i="4"/>
  <c r="B24" i="4"/>
  <c r="B17" i="4"/>
  <c r="B39" i="4" s="1"/>
  <c r="B16" i="4"/>
  <c r="B14" i="4"/>
  <c r="L56" i="4" s="1"/>
  <c r="B13" i="4"/>
  <c r="B12" i="4"/>
  <c r="B7" i="4"/>
  <c r="F82" i="4" s="1"/>
  <c r="C49" i="3"/>
  <c r="B46" i="3"/>
  <c r="B44" i="3"/>
  <c r="B43" i="3"/>
  <c r="B42" i="3"/>
  <c r="B41" i="3"/>
  <c r="B39" i="3"/>
  <c r="B38" i="3"/>
  <c r="E34" i="3"/>
  <c r="D27" i="3"/>
  <c r="D26" i="3"/>
  <c r="D23" i="3"/>
  <c r="D28" i="3" s="1"/>
  <c r="D22" i="3"/>
  <c r="D20" i="3"/>
  <c r="D14" i="3"/>
  <c r="D12" i="3"/>
  <c r="D11" i="3"/>
  <c r="D15" i="3" s="1"/>
  <c r="D10" i="3"/>
  <c r="D8" i="3"/>
  <c r="E49" i="2"/>
  <c r="B49" i="2"/>
  <c r="E48" i="2"/>
  <c r="C48" i="2"/>
  <c r="D48" i="2" s="1"/>
  <c r="B48" i="2"/>
  <c r="E47" i="2"/>
  <c r="B47" i="2"/>
  <c r="E46" i="2"/>
  <c r="B46" i="2"/>
  <c r="E45" i="2"/>
  <c r="C45" i="2"/>
  <c r="D45" i="2" s="1"/>
  <c r="B45" i="2"/>
  <c r="E44" i="2"/>
  <c r="B44" i="2"/>
  <c r="E43" i="2"/>
  <c r="B43" i="2"/>
  <c r="E42" i="2"/>
  <c r="C42" i="2"/>
  <c r="D42" i="2" s="1"/>
  <c r="B42" i="2"/>
  <c r="E41" i="2"/>
  <c r="C41" i="2"/>
  <c r="D41" i="2" s="1"/>
  <c r="B41" i="2"/>
  <c r="E40" i="2"/>
  <c r="B40" i="2"/>
  <c r="C46" i="2" s="1"/>
  <c r="D46" i="2" s="1"/>
  <c r="E38" i="2"/>
  <c r="C38" i="2"/>
  <c r="B38" i="2"/>
  <c r="C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25" i="2" s="1"/>
  <c r="B13" i="1"/>
  <c r="C23" i="5" s="1"/>
  <c r="B11" i="1"/>
  <c r="B9" i="4" l="1"/>
  <c r="D33" i="3"/>
  <c r="C29" i="2"/>
  <c r="C30" i="2"/>
  <c r="C31" i="2" s="1"/>
  <c r="C32" i="2" s="1"/>
  <c r="B8" i="4"/>
  <c r="D32" i="3"/>
  <c r="C47" i="2"/>
  <c r="D47" i="2" s="1"/>
  <c r="B40" i="3"/>
  <c r="B48" i="3"/>
  <c r="L45" i="4"/>
  <c r="L57" i="4"/>
  <c r="L46" i="4"/>
  <c r="C44" i="2"/>
  <c r="D44" i="2" s="1"/>
  <c r="K37" i="4"/>
  <c r="L47" i="4"/>
  <c r="B45" i="3"/>
  <c r="L48" i="4"/>
  <c r="C15" i="5"/>
  <c r="C20" i="5"/>
  <c r="L50" i="4"/>
  <c r="C17" i="5"/>
  <c r="C22" i="5"/>
  <c r="L52" i="4"/>
  <c r="L53" i="4"/>
  <c r="C19" i="5"/>
  <c r="C49" i="2"/>
  <c r="D49" i="2" s="1"/>
  <c r="D38" i="4"/>
  <c r="B47" i="3"/>
  <c r="B11" i="4"/>
  <c r="L54" i="4"/>
  <c r="L55" i="4"/>
  <c r="C16" i="5"/>
  <c r="C21" i="5"/>
  <c r="C40" i="2"/>
  <c r="D40" i="2" s="1"/>
  <c r="C43" i="2"/>
  <c r="D43" i="2" s="1"/>
  <c r="L43" i="4"/>
  <c r="L44" i="4"/>
  <c r="C18" i="5"/>
  <c r="C53" i="4" l="1"/>
  <c r="C41" i="4"/>
  <c r="C40" i="4"/>
  <c r="C52" i="4"/>
  <c r="C51" i="4"/>
  <c r="C48" i="4"/>
  <c r="C50" i="4"/>
  <c r="C49" i="4"/>
  <c r="C47" i="4"/>
  <c r="C57" i="4"/>
  <c r="C45" i="4"/>
  <c r="C56" i="4"/>
  <c r="C44" i="4"/>
  <c r="B21" i="4"/>
  <c r="C55" i="4"/>
  <c r="C43" i="4"/>
  <c r="C54" i="4"/>
  <c r="C42" i="4"/>
  <c r="C46" i="4"/>
  <c r="B49" i="3"/>
  <c r="D34" i="3"/>
  <c r="E32" i="3"/>
  <c r="C39" i="4"/>
  <c r="F38" i="4"/>
  <c r="D52" i="4"/>
  <c r="F52" i="4" s="1"/>
  <c r="D40" i="4"/>
  <c r="F40" i="4" s="1"/>
  <c r="D51" i="4"/>
  <c r="D50" i="4"/>
  <c r="D47" i="4"/>
  <c r="D49" i="4"/>
  <c r="B72" i="4"/>
  <c r="B74" i="4" s="1"/>
  <c r="D48" i="4"/>
  <c r="D46" i="4"/>
  <c r="D57" i="4"/>
  <c r="D56" i="4"/>
  <c r="F56" i="4" s="1"/>
  <c r="D44" i="4"/>
  <c r="D55" i="4"/>
  <c r="F55" i="4" s="1"/>
  <c r="D43" i="4"/>
  <c r="F43" i="4" s="1"/>
  <c r="D45" i="4"/>
  <c r="D54" i="4"/>
  <c r="D42" i="4"/>
  <c r="D53" i="4"/>
  <c r="F53" i="4" s="1"/>
  <c r="D41" i="4"/>
  <c r="F41" i="4" s="1"/>
  <c r="D39" i="4"/>
  <c r="M37" i="4"/>
  <c r="O37" i="4" s="1"/>
  <c r="N37" i="4"/>
  <c r="E33" i="3"/>
  <c r="E51" i="4"/>
  <c r="E39" i="4"/>
  <c r="E50" i="4"/>
  <c r="E49" i="4"/>
  <c r="E38" i="4"/>
  <c r="E46" i="4"/>
  <c r="E48" i="4"/>
  <c r="E47" i="4"/>
  <c r="B71" i="4"/>
  <c r="E57" i="4"/>
  <c r="E45" i="4"/>
  <c r="E56" i="4"/>
  <c r="E55" i="4"/>
  <c r="E43" i="4"/>
  <c r="E54" i="4"/>
  <c r="E42" i="4"/>
  <c r="E53" i="4"/>
  <c r="E41" i="4"/>
  <c r="E52" i="4"/>
  <c r="E40" i="4"/>
  <c r="E44" i="4"/>
  <c r="C38" i="4"/>
  <c r="C41" i="3" l="1"/>
  <c r="C43" i="3"/>
  <c r="C46" i="3"/>
  <c r="C38" i="3"/>
  <c r="D38" i="3" s="1"/>
  <c r="D39" i="3" s="1"/>
  <c r="C39" i="3"/>
  <c r="C42" i="3"/>
  <c r="C44" i="3"/>
  <c r="C40" i="3"/>
  <c r="F49" i="4"/>
  <c r="G49" i="4" s="1"/>
  <c r="I49" i="4" s="1"/>
  <c r="G57" i="4"/>
  <c r="I57" i="4" s="1"/>
  <c r="F42" i="4"/>
  <c r="G42" i="4" s="1"/>
  <c r="I42" i="4" s="1"/>
  <c r="F47" i="4"/>
  <c r="G47" i="4" s="1"/>
  <c r="I47" i="4" s="1"/>
  <c r="G38" i="4"/>
  <c r="I38" i="4" s="1"/>
  <c r="F54" i="4"/>
  <c r="F50" i="4"/>
  <c r="C47" i="3"/>
  <c r="C48" i="3"/>
  <c r="F45" i="4"/>
  <c r="G45" i="4" s="1"/>
  <c r="I45" i="4" s="1"/>
  <c r="F51" i="4"/>
  <c r="G51" i="4" s="1"/>
  <c r="I51" i="4" s="1"/>
  <c r="G46" i="4"/>
  <c r="I46" i="4" s="1"/>
  <c r="G50" i="4"/>
  <c r="I50" i="4" s="1"/>
  <c r="F57" i="4"/>
  <c r="C33" i="5"/>
  <c r="C48" i="5"/>
  <c r="C43" i="5"/>
  <c r="B9" i="5"/>
  <c r="C46" i="5"/>
  <c r="C36" i="5"/>
  <c r="C31" i="5"/>
  <c r="C34" i="5"/>
  <c r="E34" i="5" s="1"/>
  <c r="F34" i="5" s="1"/>
  <c r="G34" i="5" s="1"/>
  <c r="C29" i="5"/>
  <c r="E29" i="5" s="1"/>
  <c r="F29" i="5" s="1"/>
  <c r="G29" i="5" s="1"/>
  <c r="C49" i="5"/>
  <c r="C44" i="5"/>
  <c r="C47" i="5"/>
  <c r="C37" i="5"/>
  <c r="C32" i="5"/>
  <c r="C35" i="5"/>
  <c r="E35" i="5" s="1"/>
  <c r="F35" i="5" s="1"/>
  <c r="G35" i="5" s="1"/>
  <c r="C30" i="5"/>
  <c r="E30" i="5" s="1"/>
  <c r="F30" i="5" s="1"/>
  <c r="G30" i="5" s="1"/>
  <c r="B82" i="4"/>
  <c r="C45" i="5"/>
  <c r="E45" i="5" s="1"/>
  <c r="F45" i="5" s="1"/>
  <c r="G41" i="4"/>
  <c r="I41" i="4" s="1"/>
  <c r="G54" i="4"/>
  <c r="I54" i="4" s="1"/>
  <c r="C45" i="3"/>
  <c r="G55" i="4"/>
  <c r="I55" i="4" s="1"/>
  <c r="G53" i="4"/>
  <c r="I53" i="4" s="1"/>
  <c r="G48" i="4"/>
  <c r="I48" i="4" s="1"/>
  <c r="B75" i="4"/>
  <c r="F44" i="4"/>
  <c r="G44" i="4" s="1"/>
  <c r="I44" i="4" s="1"/>
  <c r="G43" i="4"/>
  <c r="I43" i="4" s="1"/>
  <c r="G52" i="4"/>
  <c r="I52" i="4" s="1"/>
  <c r="G40" i="4"/>
  <c r="I40" i="4" s="1"/>
  <c r="F46" i="4"/>
  <c r="F39" i="4"/>
  <c r="G39" i="4" s="1"/>
  <c r="I39" i="4" s="1"/>
  <c r="F48" i="4"/>
  <c r="D48" i="5"/>
  <c r="D43" i="5"/>
  <c r="D21" i="5"/>
  <c r="E21" i="5" s="1"/>
  <c r="F21" i="5" s="1"/>
  <c r="G21" i="5" s="1"/>
  <c r="D16" i="5"/>
  <c r="E16" i="5" s="1"/>
  <c r="F16" i="5" s="1"/>
  <c r="G16" i="5" s="1"/>
  <c r="D46" i="5"/>
  <c r="D36" i="5"/>
  <c r="D31" i="5"/>
  <c r="D19" i="5"/>
  <c r="E19" i="5" s="1"/>
  <c r="F19" i="5" s="1"/>
  <c r="G19" i="5" s="1"/>
  <c r="B8" i="5"/>
  <c r="B10" i="4"/>
  <c r="D34" i="5"/>
  <c r="D29" i="5"/>
  <c r="D49" i="5"/>
  <c r="D44" i="5"/>
  <c r="D22" i="5"/>
  <c r="E22" i="5" s="1"/>
  <c r="F22" i="5" s="1"/>
  <c r="G22" i="5" s="1"/>
  <c r="D17" i="5"/>
  <c r="E17" i="5" s="1"/>
  <c r="F17" i="5" s="1"/>
  <c r="G17" i="5" s="1"/>
  <c r="D47" i="5"/>
  <c r="D37" i="5"/>
  <c r="D32" i="5"/>
  <c r="E24" i="3"/>
  <c r="D20" i="5"/>
  <c r="E20" i="5" s="1"/>
  <c r="F20" i="5" s="1"/>
  <c r="G20" i="5" s="1"/>
  <c r="D15" i="5"/>
  <c r="E15" i="5" s="1"/>
  <c r="F15" i="5" s="1"/>
  <c r="G15" i="5" s="1"/>
  <c r="D35" i="5"/>
  <c r="D30" i="5"/>
  <c r="C35" i="2"/>
  <c r="D45" i="5"/>
  <c r="E22" i="3"/>
  <c r="E10" i="3"/>
  <c r="E12" i="3"/>
  <c r="E11" i="3"/>
  <c r="D33" i="5"/>
  <c r="D23" i="5"/>
  <c r="E23" i="5" s="1"/>
  <c r="F23" i="5" s="1"/>
  <c r="G23" i="5" s="1"/>
  <c r="D18" i="5"/>
  <c r="E18" i="5" s="1"/>
  <c r="F18" i="5" s="1"/>
  <c r="G18" i="5" s="1"/>
  <c r="B15" i="4"/>
  <c r="E20" i="3"/>
  <c r="E8" i="3"/>
  <c r="E23" i="3"/>
  <c r="E28" i="3"/>
  <c r="E27" i="3"/>
  <c r="E26" i="3"/>
  <c r="E15" i="3"/>
  <c r="E14" i="3"/>
  <c r="G56" i="4"/>
  <c r="I56" i="4" s="1"/>
  <c r="K44" i="4" l="1"/>
  <c r="M44" i="4" s="1"/>
  <c r="J44" i="4"/>
  <c r="K47" i="4"/>
  <c r="M47" i="4" s="1"/>
  <c r="J47" i="4"/>
  <c r="K42" i="4"/>
  <c r="M42" i="4" s="1"/>
  <c r="J42" i="4"/>
  <c r="K49" i="4"/>
  <c r="M49" i="4" s="1"/>
  <c r="J49" i="4"/>
  <c r="K51" i="4"/>
  <c r="M51" i="4" s="1"/>
  <c r="J51" i="4"/>
  <c r="K45" i="4"/>
  <c r="M45" i="4" s="1"/>
  <c r="J45" i="4"/>
  <c r="K39" i="4"/>
  <c r="M39" i="4" s="1"/>
  <c r="J39" i="4"/>
  <c r="I19" i="5"/>
  <c r="H19" i="5"/>
  <c r="K41" i="4"/>
  <c r="M41" i="4" s="1"/>
  <c r="J41" i="4"/>
  <c r="H45" i="5"/>
  <c r="G45" i="5"/>
  <c r="I45" i="5" s="1"/>
  <c r="I16" i="5"/>
  <c r="H16" i="5"/>
  <c r="I30" i="5"/>
  <c r="H30" i="5"/>
  <c r="I35" i="5"/>
  <c r="H35" i="5"/>
  <c r="K52" i="4"/>
  <c r="M52" i="4" s="1"/>
  <c r="J52" i="4"/>
  <c r="K50" i="4"/>
  <c r="M50" i="4" s="1"/>
  <c r="J50" i="4"/>
  <c r="K54" i="4"/>
  <c r="M54" i="4" s="1"/>
  <c r="J54" i="4"/>
  <c r="I17" i="5"/>
  <c r="H17" i="5"/>
  <c r="E46" i="5"/>
  <c r="F46" i="5" s="1"/>
  <c r="J53" i="4"/>
  <c r="K53" i="4"/>
  <c r="M53" i="4" s="1"/>
  <c r="E32" i="5"/>
  <c r="F32" i="5" s="1"/>
  <c r="G32" i="5" s="1"/>
  <c r="E43" i="5"/>
  <c r="F43" i="5" s="1"/>
  <c r="K43" i="4"/>
  <c r="M43" i="4" s="1"/>
  <c r="J43" i="4"/>
  <c r="E37" i="5"/>
  <c r="F37" i="5" s="1"/>
  <c r="G37" i="5" s="1"/>
  <c r="E48" i="5"/>
  <c r="F48" i="5" s="1"/>
  <c r="D40" i="3"/>
  <c r="D41" i="3" s="1"/>
  <c r="D42" i="3" s="1"/>
  <c r="D43" i="3" s="1"/>
  <c r="D44" i="3" s="1"/>
  <c r="D45" i="3" s="1"/>
  <c r="D46" i="3" s="1"/>
  <c r="D47" i="3" s="1"/>
  <c r="D48" i="3" s="1"/>
  <c r="H29" i="5"/>
  <c r="I29" i="5"/>
  <c r="H34" i="5"/>
  <c r="I34" i="5"/>
  <c r="K57" i="4"/>
  <c r="M57" i="4" s="1"/>
  <c r="J57" i="4"/>
  <c r="E31" i="5"/>
  <c r="F31" i="5" s="1"/>
  <c r="G31" i="5" s="1"/>
  <c r="K48" i="4"/>
  <c r="M48" i="4" s="1"/>
  <c r="J48" i="4"/>
  <c r="K55" i="4"/>
  <c r="M55" i="4" s="1"/>
  <c r="J55" i="4"/>
  <c r="E47" i="5"/>
  <c r="F47" i="5" s="1"/>
  <c r="E33" i="5"/>
  <c r="F33" i="5" s="1"/>
  <c r="G33" i="5" s="1"/>
  <c r="K38" i="4"/>
  <c r="J38" i="4"/>
  <c r="I23" i="5"/>
  <c r="H23" i="5"/>
  <c r="K56" i="4"/>
  <c r="M56" i="4" s="1"/>
  <c r="J56" i="4"/>
  <c r="E36" i="5"/>
  <c r="F36" i="5" s="1"/>
  <c r="G36" i="5" s="1"/>
  <c r="I21" i="5"/>
  <c r="H21" i="5"/>
  <c r="I15" i="5"/>
  <c r="H15" i="5"/>
  <c r="B76" i="4"/>
  <c r="B77" i="4" s="1"/>
  <c r="B78" i="4" s="1"/>
  <c r="B22" i="4"/>
  <c r="E44" i="5"/>
  <c r="F44" i="5" s="1"/>
  <c r="J46" i="4"/>
  <c r="K46" i="4"/>
  <c r="M46" i="4" s="1"/>
  <c r="I22" i="5"/>
  <c r="H22" i="5"/>
  <c r="I18" i="5"/>
  <c r="H18" i="5"/>
  <c r="I20" i="5"/>
  <c r="H20" i="5"/>
  <c r="J40" i="4"/>
  <c r="K40" i="4"/>
  <c r="M40" i="4" s="1"/>
  <c r="E49" i="5"/>
  <c r="F49" i="5" s="1"/>
  <c r="H44" i="5" l="1"/>
  <c r="G44" i="5"/>
  <c r="I44" i="5" s="1"/>
  <c r="H46" i="5"/>
  <c r="G46" i="5"/>
  <c r="I46" i="5" s="1"/>
  <c r="B83" i="4"/>
  <c r="B23" i="4"/>
  <c r="I33" i="5"/>
  <c r="H33" i="5"/>
  <c r="H49" i="5"/>
  <c r="G49" i="5"/>
  <c r="I49" i="5" s="1"/>
  <c r="H48" i="5"/>
  <c r="G48" i="5"/>
  <c r="I48" i="5" s="1"/>
  <c r="I37" i="5"/>
  <c r="H37" i="5"/>
  <c r="M38" i="4"/>
  <c r="O38" i="4" s="1"/>
  <c r="O39" i="4" s="1"/>
  <c r="O40" i="4" s="1"/>
  <c r="O41" i="4" s="1"/>
  <c r="O42" i="4" s="1"/>
  <c r="O43" i="4" s="1"/>
  <c r="O44" i="4" s="1"/>
  <c r="O45" i="4" s="1"/>
  <c r="O46" i="4" s="1"/>
  <c r="O47" i="4" s="1"/>
  <c r="B64" i="4"/>
  <c r="B65" i="4"/>
  <c r="N38" i="4"/>
  <c r="N39" i="4" s="1"/>
  <c r="N40" i="4" s="1"/>
  <c r="N41" i="4" s="1"/>
  <c r="N42" i="4" s="1"/>
  <c r="N43" i="4" s="1"/>
  <c r="N44" i="4" s="1"/>
  <c r="N45" i="4" s="1"/>
  <c r="N46" i="4" s="1"/>
  <c r="N47" i="4" s="1"/>
  <c r="H47" i="5"/>
  <c r="G47" i="5"/>
  <c r="I47" i="5" s="1"/>
  <c r="I36" i="5"/>
  <c r="H36" i="5"/>
  <c r="I31" i="5"/>
  <c r="H31" i="5"/>
  <c r="H43" i="5"/>
  <c r="G43" i="5"/>
  <c r="I43" i="5" s="1"/>
  <c r="I32" i="5"/>
  <c r="H32" i="5"/>
  <c r="H87" i="4" l="1"/>
  <c r="F87" i="4"/>
  <c r="F65" i="4"/>
  <c r="B25" i="4"/>
  <c r="B84" i="4"/>
  <c r="B66" i="4"/>
  <c r="N48" i="4"/>
  <c r="N49" i="4" s="1"/>
  <c r="N50" i="4" s="1"/>
  <c r="N51" i="4" s="1"/>
  <c r="N52" i="4" s="1"/>
  <c r="N53" i="4" s="1"/>
  <c r="N54" i="4" s="1"/>
  <c r="N55" i="4" s="1"/>
  <c r="N56" i="4" s="1"/>
  <c r="N57" i="4" s="1"/>
  <c r="B61" i="4"/>
  <c r="F64" i="4"/>
  <c r="H86" i="4"/>
  <c r="F86" i="4"/>
  <c r="B62" i="4"/>
  <c r="O48" i="4"/>
  <c r="O49" i="4" s="1"/>
  <c r="O50" i="4" s="1"/>
  <c r="O51" i="4" s="1"/>
  <c r="O52" i="4" s="1"/>
  <c r="O53" i="4" s="1"/>
  <c r="O54" i="4" s="1"/>
  <c r="O55" i="4" s="1"/>
  <c r="O56" i="4" s="1"/>
  <c r="O57" i="4" s="1"/>
  <c r="B31" i="4" l="1"/>
  <c r="B26" i="4"/>
  <c r="B27" i="4" s="1"/>
  <c r="B33" i="4"/>
  <c r="B87" i="4" s="1"/>
  <c r="H84" i="4"/>
  <c r="F84" i="4"/>
  <c r="F62" i="4"/>
  <c r="B85" i="4"/>
  <c r="F66" i="4"/>
  <c r="H83" i="4"/>
  <c r="F83" i="4"/>
  <c r="F61" i="4"/>
  <c r="B63" i="4" l="1"/>
  <c r="B67" i="4"/>
  <c r="F67" i="4" s="1"/>
  <c r="B10" i="5"/>
  <c r="B86" i="4"/>
  <c r="H85" i="4" l="1"/>
  <c r="F85" i="4"/>
  <c r="F63" i="4"/>
</calcChain>
</file>

<file path=xl/sharedStrings.xml><?xml version="1.0" encoding="utf-8"?>
<sst xmlns="http://schemas.openxmlformats.org/spreadsheetml/2006/main" count="623" uniqueCount="421">
  <si>
    <t>TECHNO-ECONOMIC ANALYSIS — NAPHTHA HYDRODESULFURIZATION (HDS) PLANT</t>
  </si>
  <si>
    <t>Plant Basis: Fixed-bed catalytic reactor | Currency: USD | Basis Year: 2026</t>
  </si>
  <si>
    <t>LEGEND:</t>
  </si>
  <si>
    <t xml:space="preserve"> Input (blue = hardcoded)</t>
  </si>
  <si>
    <t xml:space="preserve"> Formula (calculated)</t>
  </si>
  <si>
    <t xml:space="preserve"> Cross-sheet link (green)</t>
  </si>
  <si>
    <t xml:space="preserve"> Total / KPI</t>
  </si>
  <si>
    <t>1.1  PLANT BASIS</t>
  </si>
  <si>
    <t>Parameter</t>
  </si>
  <si>
    <t>Value</t>
  </si>
  <si>
    <t>Units</t>
  </si>
  <si>
    <t>Notes / Source</t>
  </si>
  <si>
    <t>Process type</t>
  </si>
  <si>
    <t>Hydrodesulfurization (HDS)</t>
  </si>
  <si>
    <t>–</t>
  </si>
  <si>
    <t>Fixed-bed catalytic reactor</t>
  </si>
  <si>
    <t>Feedstock</t>
  </si>
  <si>
    <t>Sour naphtha</t>
  </si>
  <si>
    <t>Stream NAPHTHA from simulation</t>
  </si>
  <si>
    <t>Feed rate</t>
  </si>
  <si>
    <t>t/h</t>
  </si>
  <si>
    <t>Mass flow from process simulation</t>
  </si>
  <si>
    <t>Operating hours/year</t>
  </si>
  <si>
    <t>h/yr</t>
  </si>
  <si>
    <t>91% on-stream factor</t>
  </si>
  <si>
    <t>Annual feed throughput</t>
  </si>
  <si>
    <t>t/yr</t>
  </si>
  <si>
    <t>Feed rate × Operating hours</t>
  </si>
  <si>
    <t>Sweet naphtha yield</t>
  </si>
  <si>
    <t>%</t>
  </si>
  <si>
    <t>Based on S14+S16 stream mass flows</t>
  </si>
  <si>
    <t>Annual product output</t>
  </si>
  <si>
    <t>Throughput × Yield %</t>
  </si>
  <si>
    <t>H₂ consumption</t>
  </si>
  <si>
    <t>Stream H2 mass flow</t>
  </si>
  <si>
    <t>Amine (MDEA) makeup</t>
  </si>
  <si>
    <t>Makeup loss replacement</t>
  </si>
  <si>
    <t>HDS catalyst charge</t>
  </si>
  <si>
    <t>kg</t>
  </si>
  <si>
    <t>Initial charge per reactor</t>
  </si>
  <si>
    <t>Catalyst replacement life</t>
  </si>
  <si>
    <t>years</t>
  </si>
  <si>
    <t>Replace every 3 years</t>
  </si>
  <si>
    <t>Plant design life</t>
  </si>
  <si>
    <t>Economic evaluation horizon</t>
  </si>
  <si>
    <t>Depreciation period</t>
  </si>
  <si>
    <t>Straight-line, zero salvage</t>
  </si>
  <si>
    <t>1.2  FINANCIAL ASSUMPTIONS</t>
  </si>
  <si>
    <t>Discount rate (WACC)</t>
  </si>
  <si>
    <t>Industry standard for NPV/IRR</t>
  </si>
  <si>
    <t>Corporate tax rate</t>
  </si>
  <si>
    <t>Corporate income tax rate</t>
  </si>
  <si>
    <t>Working capital basis</t>
  </si>
  <si>
    <t>% OPEX</t>
  </si>
  <si>
    <t>Standard refinery assumption</t>
  </si>
  <si>
    <t>Year 1 ramp-up capacity</t>
  </si>
  <si>
    <t>Production at 70% in Year 1</t>
  </si>
  <si>
    <t>Year 2 ramp-up capacity</t>
  </si>
  <si>
    <t>Production at 85% in Year 2</t>
  </si>
  <si>
    <t>1.3  PRICING FRAMEWORK  (Realistic 2026 USD)</t>
  </si>
  <si>
    <t>Item</t>
  </si>
  <si>
    <t>Unit Price</t>
  </si>
  <si>
    <t>Sour naphtha  (feedstock)</t>
  </si>
  <si>
    <t>USD/t</t>
  </si>
  <si>
    <t>Discounted: high-sulfur content</t>
  </si>
  <si>
    <t>Sweet naphtha (product)</t>
  </si>
  <si>
    <t>Premium: ultra-low sulfur &lt;10 ppm</t>
  </si>
  <si>
    <t>Hydrogen (H₂)</t>
  </si>
  <si>
    <t>Grey H₂, refinery-grade supply</t>
  </si>
  <si>
    <t>MDEA amine</t>
  </si>
  <si>
    <t>Market price 2026</t>
  </si>
  <si>
    <t>HDS catalyst (CoMo/NiMo)</t>
  </si>
  <si>
    <t>USD/kg</t>
  </si>
  <si>
    <t>Replaced every 3 years</t>
  </si>
  <si>
    <t>Cooling water</t>
  </si>
  <si>
    <t>Once-through system</t>
  </si>
  <si>
    <t>Low-pressure steam (100 psig)</t>
  </si>
  <si>
    <t>3.5 bar steam</t>
  </si>
  <si>
    <t>Electricity</t>
  </si>
  <si>
    <t>USD/kWh</t>
  </si>
  <si>
    <t>Industrial tariff</t>
  </si>
  <si>
    <t>1.4  UTILITY COSTS  (User-Provided Fixed Value from Simulation)</t>
  </si>
  <si>
    <t>Utility</t>
  </si>
  <si>
    <t>Annual Cost</t>
  </si>
  <si>
    <t>Notes</t>
  </si>
  <si>
    <t>Total utilities (electricity + cooling water + steam + process water)</t>
  </si>
  <si>
    <t>USD/yr</t>
  </si>
  <si>
    <t>User-provided fixed value from HYSYS/Aspen simulation</t>
  </si>
  <si>
    <t>CAPITAL EXPENDITURE (CAPEX) — NAPHTHA HDS PLANT</t>
  </si>
  <si>
    <t>All costs in USD | Q1 2026 basis | Lang-factor installation method</t>
  </si>
  <si>
    <t>2.1  EQUIPMENT COST BREAKDOWN  (ISBL — Inside Battery Limits)</t>
  </si>
  <si>
    <t>Equipment / Item</t>
  </si>
  <si>
    <t>Size / Duty</t>
  </si>
  <si>
    <t>Bare Cost (USD)</t>
  </si>
  <si>
    <t>Install Factor</t>
  </si>
  <si>
    <t>Installed Cost (USD)</t>
  </si>
  <si>
    <t>Compressor package (COMP1 + COMP2)</t>
  </si>
  <si>
    <t>15 kW total, 41 bar</t>
  </si>
  <si>
    <t>Heat exchanger — HX1 (feed preheat)</t>
  </si>
  <si>
    <t>10 m², 350°C, 41 bar</t>
  </si>
  <si>
    <t>Heat exchanger — HX2 (pre-reactor)</t>
  </si>
  <si>
    <t>8 m², process-to-process</t>
  </si>
  <si>
    <t>Heat exchanger — HX3 (product cool)</t>
  </si>
  <si>
    <t>15 m², 40→60°C</t>
  </si>
  <si>
    <t>Heat exchanger — HX4 (reboiler)</t>
  </si>
  <si>
    <t>12 m², column duty</t>
  </si>
  <si>
    <t>Heat exchanger — HX5 (recycle cool)</t>
  </si>
  <si>
    <t>6 m², gas cooler</t>
  </si>
  <si>
    <t>Fixed-bed HDS reactor (REACTOR)</t>
  </si>
  <si>
    <t>0.5 m³, 350°C, 41 bar</t>
  </si>
  <si>
    <t>HP flash drum (FLASH)</t>
  </si>
  <si>
    <t>1 m³, 31 bar</t>
  </si>
  <si>
    <t>LP flash drum (pre-separator)</t>
  </si>
  <si>
    <t>1 m³, 4 bar</t>
  </si>
  <si>
    <t>Amine absorber (ABSORBER)</t>
  </si>
  <si>
    <t>0.6 m dia × 8 m packed</t>
  </si>
  <si>
    <t>Distillation column (DIST)</t>
  </si>
  <si>
    <t>0.5 m dia × 6 m</t>
  </si>
  <si>
    <t>Feed pump (PUMP)</t>
  </si>
  <si>
    <t>5 kW, 41 bar</t>
  </si>
  <si>
    <t>Circulation pumps (×3)</t>
  </si>
  <si>
    <t>3–5 kW each</t>
  </si>
  <si>
    <t>Control valve (VALVE)</t>
  </si>
  <si>
    <t>High-pressure letdown, 41 bar</t>
  </si>
  <si>
    <t>Piping, valves &amp; fittings</t>
  </si>
  <si>
    <t>ISBL lump sum</t>
  </si>
  <si>
    <t>Instrumentation &amp; DCS</t>
  </si>
  <si>
    <t>PLC/DCS control package</t>
  </si>
  <si>
    <t>Structural steel &amp; civil works</t>
  </si>
  <si>
    <t>Foundation, supports</t>
  </si>
  <si>
    <t>Electrical installation</t>
  </si>
  <si>
    <t>MCC, cabling, earthing</t>
  </si>
  <si>
    <t>TOTAL INSTALLED COST (ISBL)</t>
  </si>
  <si>
    <t>2.2  PROJECT COST STRUCTURE  (ISBL → FCI → TCI)</t>
  </si>
  <si>
    <t>Cost Component</t>
  </si>
  <si>
    <t>Basis</t>
  </si>
  <si>
    <t>Amount (USD)</t>
  </si>
  <si>
    <t>Engineering &amp; Project Management</t>
  </si>
  <si>
    <t>15% of ISBL</t>
  </si>
  <si>
    <t>Contingency (process risk, scope growth)</t>
  </si>
  <si>
    <t>Fixed Capital Investment (FCI)</t>
  </si>
  <si>
    <t>ISBL + Engineering + Contingency</t>
  </si>
  <si>
    <t>OSBL + Owner's costs + Licence fees</t>
  </si>
  <si>
    <t>40% of FCI — accounts for OSBL, commissioning, owner costs</t>
  </si>
  <si>
    <t>Land &amp; site preparation</t>
  </si>
  <si>
    <t>Lump sum — site already acquired</t>
  </si>
  <si>
    <t>▶ TOTAL CAPITAL INVESTMENT (TCI) — User Provided</t>
  </si>
  <si>
    <t>From simulation &amp; quotation — ANCHOR CELL</t>
  </si>
  <si>
    <t>Working Capital (dynamic — 15% × OPEX)</t>
  </si>
  <si>
    <t xml:space="preserve"> wc% × Total Annual OPEX</t>
  </si>
  <si>
    <t>2.3  STRAIGHT-LINE DEPRECIATION SCHEDULE  (Zero Salvage Value)</t>
  </si>
  <si>
    <t>Annual Depreciation  =  TCI  ÷  Depreciation Period</t>
  </si>
  <si>
    <t>← TCI linked from above</t>
  </si>
  <si>
    <t>Year</t>
  </si>
  <si>
    <t>Annual Depreciation (USD)</t>
  </si>
  <si>
    <t>Cumulative Depreciation (USD)</t>
  </si>
  <si>
    <t>Remaining Book Value (USD)</t>
  </si>
  <si>
    <t>Depr. Rate (%)</t>
  </si>
  <si>
    <t>Status</t>
  </si>
  <si>
    <t>Fully Depreciated</t>
  </si>
  <si>
    <t>ANNUAL OPERATING EXPENDITURE (OPEX) — NAPHTHA HDS PLANT</t>
  </si>
  <si>
    <t>All costs in USD/year | Basis: 100% capacity (8,000 h/yr) | All values formula-driven</t>
  </si>
  <si>
    <t>3.1  VARIABLE OPERATING COSTS  (scale with production volume)</t>
  </si>
  <si>
    <t>Category</t>
  </si>
  <si>
    <t>Component</t>
  </si>
  <si>
    <t>Calculation Basis</t>
  </si>
  <si>
    <t>Annual Cost (USD)</t>
  </si>
  <si>
    <t>% of Total OPEX</t>
  </si>
  <si>
    <t xml:space="preserve">  FEEDSTOCK</t>
  </si>
  <si>
    <t>Annual throughput × price</t>
  </si>
  <si>
    <t xml:space="preserve">  CHEMICALS</t>
  </si>
  <si>
    <t>Chemicals</t>
  </si>
  <si>
    <t>H₂ consumption × price</t>
  </si>
  <si>
    <t>MDEA amine makeup</t>
  </si>
  <si>
    <t>Makeup qty × unit price</t>
  </si>
  <si>
    <t>HDS catalyst (annualised)</t>
  </si>
  <si>
    <t>Catalyst charge × price ÷ life</t>
  </si>
  <si>
    <t xml:space="preserve">  UTILITIES</t>
  </si>
  <si>
    <t>Utilities</t>
  </si>
  <si>
    <t>All utilities (electricity, cooling water, steam)</t>
  </si>
  <si>
    <t>Fixed value from simulation</t>
  </si>
  <si>
    <t>VARIABLE COST SUBTOTAL</t>
  </si>
  <si>
    <t>3.2  FIXED OPERATING COSTS  (independent of production volume)</t>
  </si>
  <si>
    <t xml:space="preserve">  MAINTENANCE &amp; REPAIRS</t>
  </si>
  <si>
    <t>Maintenance</t>
  </si>
  <si>
    <t>Plant maintenance &amp; repairs</t>
  </si>
  <si>
    <t>3% of TCI (industry standard)</t>
  </si>
  <si>
    <t xml:space="preserve">  LABOUR &amp; STAFFING</t>
  </si>
  <si>
    <t>Labour</t>
  </si>
  <si>
    <t>Operators (8 × $8,500/yr)</t>
  </si>
  <si>
    <t>Headcount × annual wage</t>
  </si>
  <si>
    <t>Supervision (15% of operator cost)</t>
  </si>
  <si>
    <t>Supervision rate × operator cost</t>
  </si>
  <si>
    <t>Laboratory &amp; QC testing</t>
  </si>
  <si>
    <t>Lump sum estimate</t>
  </si>
  <si>
    <t xml:space="preserve">  INSURANCE &amp; OVERHEADS</t>
  </si>
  <si>
    <t>Insurance</t>
  </si>
  <si>
    <t>Plant all-risk insurance</t>
  </si>
  <si>
    <t>0.5% of TCI (annual premium)</t>
  </si>
  <si>
    <t>Overhead</t>
  </si>
  <si>
    <t>General overhead (admin, IT, HSE)</t>
  </si>
  <si>
    <t>20% of operator cost</t>
  </si>
  <si>
    <t>FIXED COST SUBTOTAL</t>
  </si>
  <si>
    <t>3.3  TOTAL ANNUAL OPEX SUMMARY</t>
  </si>
  <si>
    <t>Line Item</t>
  </si>
  <si>
    <t>% Share</t>
  </si>
  <si>
    <t>Variable Costs</t>
  </si>
  <si>
    <t>Feedstock + Chemicals + Utilities</t>
  </si>
  <si>
    <t>Scales with throughput</t>
  </si>
  <si>
    <t>Fixed Costs</t>
  </si>
  <si>
    <t>Maintenance + Labour + Insurance</t>
  </si>
  <si>
    <t>Independent of throughput</t>
  </si>
  <si>
    <t>TOTAL ANNUAL OPEX  (excl. Depreciation)</t>
  </si>
  <si>
    <t>3.4  OPEX BREAKDOWN BY COMPONENT  (for audit &amp; Pareto analysis)</t>
  </si>
  <si>
    <t>% of Total</t>
  </si>
  <si>
    <t>Cumulative %</t>
  </si>
  <si>
    <t>Type</t>
  </si>
  <si>
    <t>Sour naphtha feedstock</t>
  </si>
  <si>
    <t>Variable</t>
  </si>
  <si>
    <t>HDS catalyst (annual)</t>
  </si>
  <si>
    <t>All utilities</t>
  </si>
  <si>
    <t>Maintenance &amp; repairs</t>
  </si>
  <si>
    <t>Fixed</t>
  </si>
  <si>
    <t>Operators (8 FTE)</t>
  </si>
  <si>
    <t>Supervision</t>
  </si>
  <si>
    <t>Laboratory &amp; QC</t>
  </si>
  <si>
    <t>Plant insurance</t>
  </si>
  <si>
    <t>General overhead</t>
  </si>
  <si>
    <t>TOTAL</t>
  </si>
  <si>
    <t>PROFITABILITY ANALYSIS — NAPHTHA HDS PLANT</t>
  </si>
  <si>
    <t>20-Year DCF | Ramp-up: 70%→85%→100% | Discounted &amp; Simple Payback | All formulas linked</t>
  </si>
  <si>
    <t>4.1  LINKED KEY ASSUMPTIONS  (all driven from Assumptions / CAPEX / OPEX sheets)</t>
  </si>
  <si>
    <t>Formula Source</t>
  </si>
  <si>
    <t>Total Capital Investment (TCI)</t>
  </si>
  <si>
    <t>USD</t>
  </si>
  <si>
    <t>Linked: CAPEX!C34</t>
  </si>
  <si>
    <t>Variable OPEX (full capacity)</t>
  </si>
  <si>
    <t>Linked: OPEX!D15</t>
  </si>
  <si>
    <t>Fixed OPEX</t>
  </si>
  <si>
    <t>Linked: OPEX!D28</t>
  </si>
  <si>
    <t>Total Annual OPEX</t>
  </si>
  <si>
    <t>Linked: OPEX!D34</t>
  </si>
  <si>
    <t>Full Annual Revenue (100% capacity)</t>
  </si>
  <si>
    <t>Product output × Sweet naphtha price</t>
  </si>
  <si>
    <t>Annual Depreciation</t>
  </si>
  <si>
    <t>TCI ÷ Depreciation period</t>
  </si>
  <si>
    <t>Tax Rate</t>
  </si>
  <si>
    <t>Linked from Assumptions</t>
  </si>
  <si>
    <t>Discount Rate (WACC)</t>
  </si>
  <si>
    <t>Working Capital</t>
  </si>
  <si>
    <t>15% × Total OPEX</t>
  </si>
  <si>
    <t>Year 1 Capacity Factor</t>
  </si>
  <si>
    <t>Ramp-up Year 1</t>
  </si>
  <si>
    <t>Year 2 Capacity Factor</t>
  </si>
  <si>
    <t>Ramp-up Year 2</t>
  </si>
  <si>
    <t>4.2  ANNUAL INCOME STATEMENT  (Year 3+ Steady State — 100% Capacity)</t>
  </si>
  <si>
    <t>Amount (USD/yr)</t>
  </si>
  <si>
    <t>Revenue</t>
  </si>
  <si>
    <t>Full capacity: output × sweet naphtha price</t>
  </si>
  <si>
    <t>Total OPEX  (excl. Depr.)</t>
  </si>
  <si>
    <t>Linked from OPEX sheet</t>
  </si>
  <si>
    <t>EBITDA</t>
  </si>
  <si>
    <t xml:space="preserve"> revenue − OPEX</t>
  </si>
  <si>
    <t>Depreciation  (10-yr SL)</t>
  </si>
  <si>
    <t xml:space="preserve"> tci ÷ Depr.Period, linked from Assumptions</t>
  </si>
  <si>
    <t>EBIT  (Operating Income)</t>
  </si>
  <si>
    <t xml:space="preserve"> ebitda − Depreciation</t>
  </si>
  <si>
    <t>Income Tax</t>
  </si>
  <si>
    <t xml:space="preserve"> IF(ebit&gt;0, tax rate × EBIT, 0))</t>
  </si>
  <si>
    <t>NET PROFIT  (after tax)</t>
  </si>
  <si>
    <t xml:space="preserve"> ebit − Tax</t>
  </si>
  <si>
    <t>4.3  ANNUAL FREE CASH FLOW  (Steady State, Method: EBIT×(1-t)+Depr)</t>
  </si>
  <si>
    <t>Formula Used</t>
  </si>
  <si>
    <t>EBIT × (1 − Tax Rate)</t>
  </si>
  <si>
    <t>After-tax operating income</t>
  </si>
  <si>
    <t>Add back: Depreciation</t>
  </si>
  <si>
    <t>Non-cash charge added back</t>
  </si>
  <si>
    <t>ANNUAL FREE CASH FLOW</t>
  </si>
  <si>
    <t xml:space="preserve"> ebit×(1-Tax) + Depreciation</t>
  </si>
  <si>
    <t>4.4  DISCOUNTED CASH FLOW TABLE  (20-Year Horizon | Ramp-Up Years 1–2 | WC Recovery Year 20)</t>
  </si>
  <si>
    <t>Capacity %</t>
  </si>
  <si>
    <t>Revenue (USD)</t>
  </si>
  <si>
    <t>Variable OPEX (USD)</t>
  </si>
  <si>
    <t>Fixed OPEX (USD)</t>
  </si>
  <si>
    <t>Total OPEX (USD)</t>
  </si>
  <si>
    <t>EBITDA (USD)</t>
  </si>
  <si>
    <t>Depreciation (USD)</t>
  </si>
  <si>
    <t>EBIT (USD)</t>
  </si>
  <si>
    <t>Tax (USD)</t>
  </si>
  <si>
    <t>Cash Flow (USD)</t>
  </si>
  <si>
    <t>Discount Factor</t>
  </si>
  <si>
    <t>Disc. CF (USD)</t>
  </si>
  <si>
    <t>Cumul. CF (USD)</t>
  </si>
  <si>
    <t>Cumul. DCF (USD)</t>
  </si>
  <si>
    <t>Initial investment</t>
  </si>
  <si>
    <t>Ramp-up: 70%</t>
  </si>
  <si>
    <t>Ramp-up: 85%</t>
  </si>
  <si>
    <t>Full capacity</t>
  </si>
  <si>
    <t>End of depreciation</t>
  </si>
  <si>
    <t>WC recovered</t>
  </si>
  <si>
    <t>4.5  ECONOMIC METRICS  (Payback calculated from cumulative CF table above)</t>
  </si>
  <si>
    <t>Metric</t>
  </si>
  <si>
    <t>Formula / Method</t>
  </si>
  <si>
    <t>Threshold</t>
  </si>
  <si>
    <t>Assessment</t>
  </si>
  <si>
    <t>Simple Payback Period</t>
  </si>
  <si>
    <t>Interpolated from cumulative CF | includes ramp-up</t>
  </si>
  <si>
    <t>&lt; 7 yrs</t>
  </si>
  <si>
    <t>Discounted Payback Period (10%)</t>
  </si>
  <si>
    <t>Interpolated from cumulative DCF | accounts for time value</t>
  </si>
  <si>
    <t>&lt; 10 yrs</t>
  </si>
  <si>
    <t>Return on Investment (ROI)</t>
  </si>
  <si>
    <t>Steady-state Net Profit ÷ TCI</t>
  </si>
  <si>
    <t>&gt; 10%</t>
  </si>
  <si>
    <t>NPV  (10% discount, 20 years)</t>
  </si>
  <si>
    <t xml:space="preserve"> NPV(rate, year1:year20) + year0 cf</t>
  </si>
  <si>
    <t>&gt; 0</t>
  </si>
  <si>
    <t>Internal Rate of Return (IRR)</t>
  </si>
  <si>
    <t xml:space="preserve"> IRR(year0:year20) incl. negative investment</t>
  </si>
  <si>
    <t>EBITDA Margin  (steady state)</t>
  </si>
  <si>
    <t>EBITDA ÷ Revenue</t>
  </si>
  <si>
    <t>Net Profit Margin  (steady state)</t>
  </si>
  <si>
    <t>Net Profit ÷ Revenue</t>
  </si>
  <si>
    <t>&gt; 5%</t>
  </si>
  <si>
    <t>4.6  BREAKEVEN ANALYSIS  (Structure: EBIT=0, ready for Goal Seek)</t>
  </si>
  <si>
    <t>Method / Formula</t>
  </si>
  <si>
    <t>Fixed costs (Fixed OPEX + Depreciation)</t>
  </si>
  <si>
    <t>Independent of volume</t>
  </si>
  <si>
    <t>Variable cost rate</t>
  </si>
  <si>
    <t>Variable OPEX ÷ Annual product tonnes</t>
  </si>
  <si>
    <t>Current selling price</t>
  </si>
  <si>
    <t>Sweet naphtha market price</t>
  </si>
  <si>
    <t>Contribution margin per tonne</t>
  </si>
  <si>
    <t>Price − Variable cost rate</t>
  </si>
  <si>
    <t>Breakeven volume</t>
  </si>
  <si>
    <t>Fixed costs ÷ Contribution margin  [EBIT=0]</t>
  </si>
  <si>
    <t>Breakeven selling price</t>
  </si>
  <si>
    <t>(Total OPEX + Depr) ÷ Annual output  [EBIT=0]</t>
  </si>
  <si>
    <t>Safety margin (price)</t>
  </si>
  <si>
    <t>How far price can fall before breakeven</t>
  </si>
  <si>
    <t>Safety margin (%)</t>
  </si>
  <si>
    <t>Safety margin as % of selling price</t>
  </si>
  <si>
    <t>4.7  EXECUTIVE KPI SUMMARY</t>
  </si>
  <si>
    <t>KPI</t>
  </si>
  <si>
    <t>Annual Revenue</t>
  </si>
  <si>
    <t>TCI</t>
  </si>
  <si>
    <t>Total OPEX</t>
  </si>
  <si>
    <t>Simple Payback</t>
  </si>
  <si>
    <t>yrs</t>
  </si>
  <si>
    <t>Discounted Payback</t>
  </si>
  <si>
    <t>EBITDA Margin</t>
  </si>
  <si>
    <t>ROI</t>
  </si>
  <si>
    <t>Net Profit</t>
  </si>
  <si>
    <t>NPV (10%, 20yr)</t>
  </si>
  <si>
    <t>Annual CF (SS)</t>
  </si>
  <si>
    <t>IRR</t>
  </si>
  <si>
    <t>SENSITIVITY ANALYSIS — NAPHTHA HDS PLANT</t>
  </si>
  <si>
    <t>One-at-a-time (OAT) analysis | Steady-state basis | All outputs formula-driven</t>
  </si>
  <si>
    <t>BASE CASE REFERENCE  (linked from model)</t>
  </si>
  <si>
    <t xml:space="preserve">  </t>
  </si>
  <si>
    <t>Sour naphtha price</t>
  </si>
  <si>
    <t>Sweet naphtha price</t>
  </si>
  <si>
    <t>Discount rate</t>
  </si>
  <si>
    <t>Net Profit (SS)</t>
  </si>
  <si>
    <t>Tax rate</t>
  </si>
  <si>
    <t>SENSITIVITY 1:  SWEET NAPHTHA SELLING PRICE  (Revenue sensitivity)</t>
  </si>
  <si>
    <t>Varying product selling price ±20% | Feedstock cost unchanged | Steady-state, 100% capacity</t>
  </si>
  <si>
    <t>Scenario</t>
  </si>
  <si>
    <t>Sweet Price (USD/t)</t>
  </si>
  <si>
    <t>Revenue (USD/yr)</t>
  </si>
  <si>
    <t>Total OPEX (USD/yr)</t>
  </si>
  <si>
    <t>EBITDA (USD/yr)</t>
  </si>
  <si>
    <t>EBIT (USD/yr)</t>
  </si>
  <si>
    <t>Net Profit (USD/yr)</t>
  </si>
  <si>
    <t>Payback (yrs)</t>
  </si>
  <si>
    <t>ROI (%)</t>
  </si>
  <si>
    <t>–20%  ($508/t)</t>
  </si>
  <si>
    <t>–15%  ($539/t)</t>
  </si>
  <si>
    <t>–10%  ($571/t)</t>
  </si>
  <si>
    <t>–5%   ($603/t)</t>
  </si>
  <si>
    <t>BASE  ($635/t)</t>
  </si>
  <si>
    <t>+5%   ($666/t)</t>
  </si>
  <si>
    <t>+10%  ($698/t)</t>
  </si>
  <si>
    <t>+15%  ($730/t)</t>
  </si>
  <si>
    <t>+20%  ($762/t)</t>
  </si>
  <si>
    <t>SENSITIVITY 2:  SOUR NAPHTHA FEED PRICE  (Cost sensitivity)</t>
  </si>
  <si>
    <t>Varying feedstock cost ±20% | Product price unchanged | Steady-state, 100% capacity</t>
  </si>
  <si>
    <t>Sour Price (USD/t)</t>
  </si>
  <si>
    <t>–20%  ($420/t)</t>
  </si>
  <si>
    <t>–15%  ($446/t)</t>
  </si>
  <si>
    <t>–10%  ($472/t)</t>
  </si>
  <si>
    <t>–5%   ($498/t)</t>
  </si>
  <si>
    <t>BASE  ($525/t)</t>
  </si>
  <si>
    <t>+5%   ($551/t)</t>
  </si>
  <si>
    <t>+10%  ($577/t)</t>
  </si>
  <si>
    <t>+15%  ($603/t)</t>
  </si>
  <si>
    <t>+20%  ($630/t)</t>
  </si>
  <si>
    <t>SENSITIVITY 3:  TOTAL CAPITAL INVESTMENT (TCI)  (CAPEX overrun / saving)</t>
  </si>
  <si>
    <t xml:space="preserve">  Varying TCI ±30% | Maintenance (3%×TCI) and Depreciation (TCI÷10) update dynamically | Revenue unchanged</t>
  </si>
  <si>
    <t>TCI (USD)</t>
  </si>
  <si>
    <t>–30%  ($4,163,900)</t>
  </si>
  <si>
    <t>–20%  ($4,758,744)</t>
  </si>
  <si>
    <t>–10%  ($5,353,587)</t>
  </si>
  <si>
    <t>BASE  ($5,948,430)</t>
  </si>
  <si>
    <t>+10%  ($6,543,273)</t>
  </si>
  <si>
    <t>+20%  ($7,138,116)</t>
  </si>
  <si>
    <t>+30%  ($7,732,959)</t>
  </si>
  <si>
    <t>TORNADO SUMMARY  (±20% on each key variable — impact on Payback)</t>
  </si>
  <si>
    <t>–20% Net Profit</t>
  </si>
  <si>
    <t>+20% Net Profit</t>
  </si>
  <si>
    <t>–20% Payback (yr)</t>
  </si>
  <si>
    <t>+20% Payback (yr)</t>
  </si>
  <si>
    <t>Swing (Payback)</t>
  </si>
  <si>
    <t>Rank (1=most sensitive)</t>
  </si>
  <si>
    <t>Sweet naphtha price (±20%)</t>
  </si>
  <si>
    <t>→ see sensitivity table above</t>
  </si>
  <si>
    <t>Refer to tables</t>
  </si>
  <si>
    <t>Sour naphtha price (±20%)</t>
  </si>
  <si>
    <t>Capital investment TCI (±20%)</t>
  </si>
  <si>
    <t>Operating hours (±10%)</t>
  </si>
  <si>
    <t>Discount rate (±5%)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</si>
</sst>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\$#,##0.00"/>
    <numFmt numFmtId="166" formatCode="\$#,##0;&quot;($&quot;#,##0\);\-"/>
    <numFmt numFmtId="167" formatCode="0.0\x"/>
    <numFmt numFmtId="168" formatCode="0.0%"/>
    <numFmt numFmtId="169" formatCode="0.0000"/>
  </numFmts>
  <fonts count="8" x14ac:knownFonts="1">
    <font>
      <sz val="11"/>
      <color theme="1"/>
      <name val="Calibri"/>
      <family val="2"/>
      <charset val="1"/>
    </font>
    <font>
      <b/>
      <sz val="14"/>
      <color rgb="FF1F4E79"/>
      <name val="Arial"/>
      <charset val="1"/>
    </font>
    <font>
      <i/>
      <sz val="9"/>
      <color rgb="FF595959"/>
      <name val="Arial"/>
      <charset val="1"/>
    </font>
    <font>
      <b/>
      <sz val="10"/>
      <color rgb="FF000000"/>
      <name val="Arial"/>
      <charset val="1"/>
    </font>
    <font>
      <b/>
      <sz val="10"/>
      <color rgb="FF0000FF"/>
      <name val="Arial"/>
      <charset val="1"/>
    </font>
    <font>
      <sz val="10"/>
      <color rgb="FF000000"/>
      <name val="Arial"/>
      <charset val="1"/>
    </font>
    <font>
      <sz val="10"/>
      <color rgb="FF008000"/>
      <name val="Arial"/>
      <charset val="1"/>
    </font>
    <font>
      <b/>
      <sz val="11"/>
      <color rgb="FFFFFFFF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D6E4F0"/>
      </patternFill>
    </fill>
    <fill>
      <patternFill patternType="solid">
        <fgColor rgb="FFFFFACD"/>
        <bgColor rgb="FFFFF2CC"/>
      </patternFill>
    </fill>
    <fill>
      <patternFill patternType="solid">
        <fgColor rgb="FFE2EFDA"/>
        <bgColor rgb="FFD6E4F0"/>
      </patternFill>
    </fill>
    <fill>
      <patternFill patternType="solid">
        <fgColor rgb="FFF9A825"/>
        <bgColor rgb="FFF4B942"/>
      </patternFill>
    </fill>
    <fill>
      <patternFill patternType="solid">
        <fgColor rgb="FFFFFFFF"/>
        <bgColor rgb="FFFFFACD"/>
      </patternFill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6E4F0"/>
        <bgColor rgb="FFD9D9D9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FFACD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2" fillId="0" borderId="0" xfId="0" applyFont="1" applyAlignment="1">
      <alignment horizontal="left" indent="2"/>
    </xf>
    <xf numFmtId="0" fontId="3" fillId="9" borderId="2" xfId="0" applyFont="1" applyFill="1" applyBorder="1" applyAlignment="1">
      <alignment horizontal="left" indent="2"/>
    </xf>
    <xf numFmtId="0" fontId="7" fillId="7" borderId="2" xfId="0" applyFont="1" applyFill="1" applyBorder="1" applyAlignment="1">
      <alignment horizontal="left" vertical="center" inden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0" fillId="6" borderId="0" xfId="0" applyFill="1"/>
    <xf numFmtId="0" fontId="7" fillId="8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indent="1"/>
    </xf>
    <xf numFmtId="0" fontId="4" fillId="2" borderId="1" xfId="0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0" fontId="5" fillId="3" borderId="1" xfId="0" applyFont="1" applyFill="1" applyBorder="1" applyAlignment="1">
      <alignment horizontal="right" vertical="center"/>
    </xf>
    <xf numFmtId="4" fontId="4" fillId="2" borderId="1" xfId="0" applyNumberFormat="1" applyFont="1" applyFill="1" applyBorder="1" applyAlignment="1">
      <alignment horizontal="right" vertical="center"/>
    </xf>
    <xf numFmtId="164" fontId="4" fillId="2" borderId="1" xfId="0" applyNumberFormat="1" applyFont="1" applyFill="1" applyBorder="1" applyAlignment="1">
      <alignment horizontal="right" vertical="center"/>
    </xf>
    <xf numFmtId="165" fontId="4" fillId="2" borderId="1" xfId="0" applyNumberFormat="1" applyFont="1" applyFill="1" applyBorder="1" applyAlignment="1">
      <alignment horizontal="right" vertical="center"/>
    </xf>
    <xf numFmtId="166" fontId="4" fillId="2" borderId="1" xfId="0" applyNumberFormat="1" applyFont="1" applyFill="1" applyBorder="1" applyAlignment="1">
      <alignment horizontal="right" vertical="center"/>
    </xf>
    <xf numFmtId="167" fontId="4" fillId="2" borderId="1" xfId="0" applyNumberFormat="1" applyFont="1" applyFill="1" applyBorder="1" applyAlignment="1">
      <alignment horizontal="center" vertical="center"/>
    </xf>
    <xf numFmtId="166" fontId="5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indent="1"/>
    </xf>
    <xf numFmtId="0" fontId="3" fillId="5" borderId="1" xfId="0" applyFont="1" applyFill="1" applyBorder="1"/>
    <xf numFmtId="166" fontId="3" fillId="5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0" fillId="3" borderId="1" xfId="0" applyFill="1" applyBorder="1"/>
    <xf numFmtId="0" fontId="2" fillId="3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 indent="1"/>
    </xf>
    <xf numFmtId="0" fontId="0" fillId="5" borderId="1" xfId="0" applyFill="1" applyBorder="1"/>
    <xf numFmtId="0" fontId="2" fillId="5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0" fontId="0" fillId="2" borderId="1" xfId="0" applyFill="1" applyBorder="1"/>
    <xf numFmtId="0" fontId="2" fillId="2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166" fontId="6" fillId="4" borderId="1" xfId="0" applyNumberFormat="1" applyFont="1" applyFill="1" applyBorder="1" applyAlignment="1">
      <alignment horizontal="right" vertical="center"/>
    </xf>
    <xf numFmtId="0" fontId="0" fillId="4" borderId="1" xfId="0" applyFill="1" applyBorder="1"/>
    <xf numFmtId="0" fontId="2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indent="1"/>
    </xf>
    <xf numFmtId="168" fontId="5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8" fontId="5" fillId="3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indent="2"/>
    </xf>
    <xf numFmtId="10" fontId="5" fillId="3" borderId="1" xfId="0" applyNumberFormat="1" applyFont="1" applyFill="1" applyBorder="1" applyAlignment="1">
      <alignment horizontal="center" vertical="center"/>
    </xf>
    <xf numFmtId="10" fontId="3" fillId="5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0" fillId="0" borderId="1" xfId="0" applyBorder="1"/>
    <xf numFmtId="10" fontId="6" fillId="4" borderId="1" xfId="0" applyNumberFormat="1" applyFont="1" applyFill="1" applyBorder="1" applyAlignment="1">
      <alignment horizontal="right" vertical="center"/>
    </xf>
    <xf numFmtId="0" fontId="4" fillId="10" borderId="1" xfId="0" applyFont="1" applyFill="1" applyBorder="1" applyAlignment="1">
      <alignment horizontal="center" vertical="center"/>
    </xf>
    <xf numFmtId="9" fontId="4" fillId="10" borderId="1" xfId="0" applyNumberFormat="1" applyFont="1" applyFill="1" applyBorder="1" applyAlignment="1">
      <alignment horizontal="center" vertical="center"/>
    </xf>
    <xf numFmtId="166" fontId="5" fillId="10" borderId="1" xfId="0" applyNumberFormat="1" applyFont="1" applyFill="1" applyBorder="1" applyAlignment="1">
      <alignment horizontal="right" vertical="center"/>
    </xf>
    <xf numFmtId="166" fontId="3" fillId="10" borderId="1" xfId="0" applyNumberFormat="1" applyFont="1" applyFill="1" applyBorder="1" applyAlignment="1">
      <alignment horizontal="right" vertical="center"/>
    </xf>
    <xf numFmtId="169" fontId="5" fillId="10" borderId="1" xfId="0" applyNumberFormat="1" applyFont="1" applyFill="1" applyBorder="1" applyAlignment="1">
      <alignment horizontal="right" vertical="center"/>
    </xf>
    <xf numFmtId="0" fontId="2" fillId="10" borderId="1" xfId="0" applyFont="1" applyFill="1" applyBorder="1" applyAlignment="1">
      <alignment horizontal="left" vertical="center" indent="1"/>
    </xf>
    <xf numFmtId="0" fontId="5" fillId="9" borderId="1" xfId="0" applyFont="1" applyFill="1" applyBorder="1" applyAlignment="1">
      <alignment horizontal="center" vertical="center"/>
    </xf>
    <xf numFmtId="9" fontId="6" fillId="3" borderId="1" xfId="0" applyNumberFormat="1" applyFont="1" applyFill="1" applyBorder="1" applyAlignment="1">
      <alignment horizontal="center" vertical="center"/>
    </xf>
    <xf numFmtId="166" fontId="5" fillId="9" borderId="1" xfId="0" applyNumberFormat="1" applyFont="1" applyFill="1" applyBorder="1" applyAlignment="1">
      <alignment horizontal="right" vertical="center"/>
    </xf>
    <xf numFmtId="169" fontId="5" fillId="9" borderId="1" xfId="0" applyNumberFormat="1" applyFont="1" applyFill="1" applyBorder="1" applyAlignment="1">
      <alignment horizontal="right" vertical="center"/>
    </xf>
    <xf numFmtId="0" fontId="2" fillId="9" borderId="1" xfId="0" applyFont="1" applyFill="1" applyBorder="1" applyAlignment="1">
      <alignment horizontal="left" vertical="center" indent="1"/>
    </xf>
    <xf numFmtId="0" fontId="5" fillId="6" borderId="1" xfId="0" applyFont="1" applyFill="1" applyBorder="1" applyAlignment="1">
      <alignment horizontal="center" vertical="center"/>
    </xf>
    <xf numFmtId="166" fontId="5" fillId="6" borderId="1" xfId="0" applyNumberFormat="1" applyFont="1" applyFill="1" applyBorder="1" applyAlignment="1">
      <alignment horizontal="right" vertical="center"/>
    </xf>
    <xf numFmtId="169" fontId="5" fillId="6" borderId="1" xfId="0" applyNumberFormat="1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left" vertical="center" indent="1"/>
    </xf>
    <xf numFmtId="9" fontId="4" fillId="9" borderId="1" xfId="0" applyNumberFormat="1" applyFont="1" applyFill="1" applyBorder="1" applyAlignment="1">
      <alignment horizontal="center" vertical="center"/>
    </xf>
    <xf numFmtId="9" fontId="4" fillId="6" borderId="1" xfId="0" applyNumberFormat="1" applyFont="1" applyFill="1" applyBorder="1" applyAlignment="1">
      <alignment horizontal="center" vertical="center"/>
    </xf>
    <xf numFmtId="166" fontId="5" fillId="4" borderId="1" xfId="0" applyNumberFormat="1" applyFont="1" applyFill="1" applyBorder="1" applyAlignment="1">
      <alignment horizontal="right" vertical="center"/>
    </xf>
    <xf numFmtId="166" fontId="3" fillId="4" borderId="1" xfId="0" applyNumberFormat="1" applyFont="1" applyFill="1" applyBorder="1" applyAlignment="1">
      <alignment horizontal="right" vertical="center"/>
    </xf>
    <xf numFmtId="0" fontId="3" fillId="11" borderId="1" xfId="0" applyFont="1" applyFill="1" applyBorder="1" applyAlignment="1">
      <alignment horizontal="left" vertical="center" indent="1"/>
    </xf>
    <xf numFmtId="2" fontId="3" fillId="5" borderId="1" xfId="0" applyNumberFormat="1" applyFont="1" applyFill="1" applyBorder="1" applyAlignment="1">
      <alignment horizontal="right"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/>
    </xf>
    <xf numFmtId="0" fontId="0" fillId="11" borderId="1" xfId="0" applyFill="1" applyBorder="1"/>
    <xf numFmtId="10" fontId="3" fillId="5" borderId="1" xfId="0" applyNumberFormat="1" applyFont="1" applyFill="1" applyBorder="1" applyAlignment="1">
      <alignment horizontal="right" vertical="center"/>
    </xf>
    <xf numFmtId="165" fontId="5" fillId="3" borderId="1" xfId="0" applyNumberFormat="1" applyFont="1" applyFill="1" applyBorder="1" applyAlignment="1">
      <alignment horizontal="right" vertical="center"/>
    </xf>
    <xf numFmtId="0" fontId="0" fillId="9" borderId="1" xfId="0" applyFill="1" applyBorder="1"/>
    <xf numFmtId="0" fontId="0" fillId="6" borderId="1" xfId="0" applyFill="1" applyBorder="1"/>
    <xf numFmtId="3" fontId="5" fillId="3" borderId="1" xfId="0" applyNumberFormat="1" applyFont="1" applyFill="1" applyBorder="1" applyAlignment="1">
      <alignment horizontal="right" vertical="center"/>
    </xf>
    <xf numFmtId="10" fontId="5" fillId="3" borderId="1" xfId="0" applyNumberFormat="1" applyFont="1" applyFill="1" applyBorder="1" applyAlignment="1">
      <alignment horizontal="right" vertical="center"/>
    </xf>
    <xf numFmtId="0" fontId="3" fillId="9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5" fillId="9" borderId="1" xfId="0" applyFont="1" applyFill="1" applyBorder="1" applyAlignment="1">
      <alignment horizontal="left" vertical="center"/>
    </xf>
    <xf numFmtId="165" fontId="6" fillId="4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left" vertical="center"/>
    </xf>
    <xf numFmtId="168" fontId="6" fillId="4" borderId="1" xfId="0" applyNumberFormat="1" applyFont="1" applyFill="1" applyBorder="1" applyAlignment="1">
      <alignment horizontal="right" vertical="center"/>
    </xf>
    <xf numFmtId="2" fontId="5" fillId="9" borderId="1" xfId="0" applyNumberFormat="1" applyFont="1" applyFill="1" applyBorder="1" applyAlignment="1">
      <alignment horizontal="right" vertical="center"/>
    </xf>
    <xf numFmtId="10" fontId="5" fillId="9" borderId="1" xfId="0" applyNumberFormat="1" applyFont="1" applyFill="1" applyBorder="1" applyAlignment="1">
      <alignment horizontal="right" vertical="center"/>
    </xf>
    <xf numFmtId="2" fontId="5" fillId="6" borderId="1" xfId="0" applyNumberFormat="1" applyFont="1" applyFill="1" applyBorder="1" applyAlignment="1">
      <alignment horizontal="right" vertical="center"/>
    </xf>
    <xf numFmtId="10" fontId="5" fillId="6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ACD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2CC"/>
      <rgbColor rgb="FF99CCFF"/>
      <rgbColor rgb="FFFF99CC"/>
      <rgbColor rgb="FFCC99FF"/>
      <rgbColor rgb="FFFCE4D6"/>
      <rgbColor rgb="FF2E75B6"/>
      <rgbColor rgb="FF33CCCC"/>
      <rgbColor rgb="FF99CC00"/>
      <rgbColor rgb="FFF4B942"/>
      <rgbColor rgb="FFF9A825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E42"/>
  <sheetViews>
    <sheetView showGridLines="0" tabSelected="1" zoomScaleNormal="100" workbookViewId="0">
      <pane ySplit="5" topLeftCell="A6" activePane="bottomLeft" state="frozen"/>
      <selection pane="bottomLeft" sqref="A1:D1"/>
    </sheetView>
  </sheetViews>
  <sheetFormatPr defaultColWidth="8.6640625" defaultRowHeight="14.4" x14ac:dyDescent="0.3"/>
  <cols>
    <col min="1" max="1" width="34" customWidth="1"/>
    <col min="2" max="2" width="18" customWidth="1"/>
    <col min="3" max="3" width="14" customWidth="1"/>
    <col min="4" max="4" width="40" customWidth="1"/>
  </cols>
  <sheetData>
    <row r="1" spans="1:5" ht="30" customHeight="1" x14ac:dyDescent="0.3">
      <c r="A1" s="5" t="s">
        <v>0</v>
      </c>
      <c r="B1" s="5"/>
      <c r="C1" s="5"/>
      <c r="D1" s="5"/>
    </row>
    <row r="2" spans="1:5" ht="15" customHeight="1" x14ac:dyDescent="0.3">
      <c r="A2" s="4" t="s">
        <v>1</v>
      </c>
      <c r="B2" s="4"/>
      <c r="C2" s="4"/>
      <c r="D2" s="4"/>
    </row>
    <row r="3" spans="1:5" ht="15" customHeight="1" x14ac:dyDescent="0.3">
      <c r="A3" s="6" t="s">
        <v>2</v>
      </c>
      <c r="B3" s="7" t="s">
        <v>3</v>
      </c>
      <c r="C3" s="8" t="s">
        <v>4</v>
      </c>
      <c r="D3" s="9" t="s">
        <v>5</v>
      </c>
      <c r="E3" s="10" t="s">
        <v>6</v>
      </c>
    </row>
    <row r="4" spans="1:5" ht="6.75" customHeight="1" x14ac:dyDescent="0.3">
      <c r="A4" s="11"/>
      <c r="B4" s="11"/>
      <c r="C4" s="11"/>
      <c r="D4" s="11"/>
    </row>
    <row r="5" spans="1:5" ht="15" customHeight="1" x14ac:dyDescent="0.3">
      <c r="A5" s="3" t="s">
        <v>7</v>
      </c>
      <c r="B5" s="3"/>
      <c r="C5" s="3"/>
      <c r="D5" s="3"/>
    </row>
    <row r="6" spans="1:5" ht="15" customHeight="1" x14ac:dyDescent="0.3">
      <c r="A6" s="12" t="s">
        <v>8</v>
      </c>
      <c r="B6" s="12" t="s">
        <v>9</v>
      </c>
      <c r="C6" s="12" t="s">
        <v>10</v>
      </c>
      <c r="D6" s="12" t="s">
        <v>11</v>
      </c>
    </row>
    <row r="7" spans="1:5" ht="15" customHeight="1" x14ac:dyDescent="0.3">
      <c r="A7" s="13" t="s">
        <v>12</v>
      </c>
      <c r="B7" s="14" t="s">
        <v>13</v>
      </c>
      <c r="C7" s="15" t="s">
        <v>14</v>
      </c>
      <c r="D7" s="16" t="s">
        <v>15</v>
      </c>
    </row>
    <row r="8" spans="1:5" ht="15" customHeight="1" x14ac:dyDescent="0.3">
      <c r="A8" s="13" t="s">
        <v>16</v>
      </c>
      <c r="B8" s="14" t="s">
        <v>17</v>
      </c>
      <c r="C8" s="15" t="s">
        <v>14</v>
      </c>
      <c r="D8" s="16" t="s">
        <v>18</v>
      </c>
    </row>
    <row r="9" spans="1:5" ht="15" customHeight="1" x14ac:dyDescent="0.3">
      <c r="A9" s="13" t="s">
        <v>19</v>
      </c>
      <c r="B9" s="14">
        <v>3</v>
      </c>
      <c r="C9" s="15" t="s">
        <v>20</v>
      </c>
      <c r="D9" s="16" t="s">
        <v>21</v>
      </c>
    </row>
    <row r="10" spans="1:5" ht="15" customHeight="1" x14ac:dyDescent="0.3">
      <c r="A10" s="13" t="s">
        <v>22</v>
      </c>
      <c r="B10" s="14">
        <v>8000</v>
      </c>
      <c r="C10" s="15" t="s">
        <v>23</v>
      </c>
      <c r="D10" s="16" t="s">
        <v>24</v>
      </c>
    </row>
    <row r="11" spans="1:5" ht="15" customHeight="1" x14ac:dyDescent="0.3">
      <c r="A11" s="13" t="s">
        <v>25</v>
      </c>
      <c r="B11" s="17">
        <f>B9*B10</f>
        <v>24000</v>
      </c>
      <c r="C11" s="15" t="s">
        <v>26</v>
      </c>
      <c r="D11" s="16" t="s">
        <v>27</v>
      </c>
    </row>
    <row r="12" spans="1:5" ht="15" customHeight="1" x14ac:dyDescent="0.3">
      <c r="A12" s="13" t="s">
        <v>28</v>
      </c>
      <c r="B12" s="18">
        <v>99.2</v>
      </c>
      <c r="C12" s="15" t="s">
        <v>29</v>
      </c>
      <c r="D12" s="16" t="s">
        <v>30</v>
      </c>
    </row>
    <row r="13" spans="1:5" ht="15" customHeight="1" x14ac:dyDescent="0.3">
      <c r="A13" s="13" t="s">
        <v>31</v>
      </c>
      <c r="B13" s="17">
        <f>B11*(B12/100)</f>
        <v>23808</v>
      </c>
      <c r="C13" s="15" t="s">
        <v>26</v>
      </c>
      <c r="D13" s="16" t="s">
        <v>32</v>
      </c>
    </row>
    <row r="14" spans="1:5" ht="15" customHeight="1" x14ac:dyDescent="0.3">
      <c r="A14" s="13" t="s">
        <v>33</v>
      </c>
      <c r="B14" s="18">
        <v>71.400000000000006</v>
      </c>
      <c r="C14" s="15" t="s">
        <v>26</v>
      </c>
      <c r="D14" s="16" t="s">
        <v>34</v>
      </c>
    </row>
    <row r="15" spans="1:5" ht="15" customHeight="1" x14ac:dyDescent="0.3">
      <c r="A15" s="13" t="s">
        <v>35</v>
      </c>
      <c r="B15" s="18">
        <v>85.2</v>
      </c>
      <c r="C15" s="15" t="s">
        <v>26</v>
      </c>
      <c r="D15" s="16" t="s">
        <v>36</v>
      </c>
    </row>
    <row r="16" spans="1:5" ht="15" customHeight="1" x14ac:dyDescent="0.3">
      <c r="A16" s="13" t="s">
        <v>37</v>
      </c>
      <c r="B16" s="14">
        <v>2000</v>
      </c>
      <c r="C16" s="15" t="s">
        <v>38</v>
      </c>
      <c r="D16" s="16" t="s">
        <v>39</v>
      </c>
    </row>
    <row r="17" spans="1:4" ht="15" customHeight="1" x14ac:dyDescent="0.3">
      <c r="A17" s="13" t="s">
        <v>40</v>
      </c>
      <c r="B17" s="14">
        <v>3</v>
      </c>
      <c r="C17" s="15" t="s">
        <v>41</v>
      </c>
      <c r="D17" s="16" t="s">
        <v>42</v>
      </c>
    </row>
    <row r="18" spans="1:4" ht="15" customHeight="1" x14ac:dyDescent="0.3">
      <c r="A18" s="13" t="s">
        <v>43</v>
      </c>
      <c r="B18" s="14">
        <v>20</v>
      </c>
      <c r="C18" s="15" t="s">
        <v>41</v>
      </c>
      <c r="D18" s="16" t="s">
        <v>44</v>
      </c>
    </row>
    <row r="19" spans="1:4" ht="15" customHeight="1" x14ac:dyDescent="0.3">
      <c r="A19" s="13" t="s">
        <v>45</v>
      </c>
      <c r="B19" s="14">
        <v>10</v>
      </c>
      <c r="C19" s="15" t="s">
        <v>41</v>
      </c>
      <c r="D19" s="16" t="s">
        <v>46</v>
      </c>
    </row>
    <row r="20" spans="1:4" ht="6.75" customHeight="1" x14ac:dyDescent="0.3">
      <c r="A20" s="11"/>
      <c r="B20" s="11"/>
      <c r="C20" s="11"/>
      <c r="D20" s="11"/>
    </row>
    <row r="21" spans="1:4" ht="15" customHeight="1" x14ac:dyDescent="0.3">
      <c r="A21" s="3" t="s">
        <v>47</v>
      </c>
      <c r="B21" s="3"/>
      <c r="C21" s="3"/>
      <c r="D21" s="3"/>
    </row>
    <row r="22" spans="1:4" ht="15" customHeight="1" x14ac:dyDescent="0.3">
      <c r="A22" s="12" t="s">
        <v>8</v>
      </c>
      <c r="B22" s="12" t="s">
        <v>9</v>
      </c>
      <c r="C22" s="12" t="s">
        <v>10</v>
      </c>
      <c r="D22" s="12" t="s">
        <v>11</v>
      </c>
    </row>
    <row r="23" spans="1:4" ht="15" customHeight="1" x14ac:dyDescent="0.3">
      <c r="A23" s="13" t="s">
        <v>48</v>
      </c>
      <c r="B23" s="19">
        <v>10</v>
      </c>
      <c r="C23" s="15" t="s">
        <v>29</v>
      </c>
      <c r="D23" s="16" t="s">
        <v>49</v>
      </c>
    </row>
    <row r="24" spans="1:4" ht="15" customHeight="1" x14ac:dyDescent="0.3">
      <c r="A24" s="13" t="s">
        <v>50</v>
      </c>
      <c r="B24" s="19">
        <v>30</v>
      </c>
      <c r="C24" s="15" t="s">
        <v>29</v>
      </c>
      <c r="D24" s="16" t="s">
        <v>51</v>
      </c>
    </row>
    <row r="25" spans="1:4" ht="15" customHeight="1" x14ac:dyDescent="0.3">
      <c r="A25" s="13" t="s">
        <v>52</v>
      </c>
      <c r="B25" s="19">
        <v>15</v>
      </c>
      <c r="C25" s="15" t="s">
        <v>53</v>
      </c>
      <c r="D25" s="16" t="s">
        <v>54</v>
      </c>
    </row>
    <row r="26" spans="1:4" ht="15" customHeight="1" x14ac:dyDescent="0.3">
      <c r="A26" s="13" t="s">
        <v>55</v>
      </c>
      <c r="B26" s="19">
        <v>70</v>
      </c>
      <c r="C26" s="15" t="s">
        <v>29</v>
      </c>
      <c r="D26" s="16" t="s">
        <v>56</v>
      </c>
    </row>
    <row r="27" spans="1:4" ht="15" customHeight="1" x14ac:dyDescent="0.3">
      <c r="A27" s="13" t="s">
        <v>57</v>
      </c>
      <c r="B27" s="19">
        <v>85</v>
      </c>
      <c r="C27" s="15" t="s">
        <v>29</v>
      </c>
      <c r="D27" s="16" t="s">
        <v>58</v>
      </c>
    </row>
    <row r="28" spans="1:4" ht="6.75" customHeight="1" x14ac:dyDescent="0.3">
      <c r="A28" s="11"/>
      <c r="B28" s="11"/>
      <c r="C28" s="11"/>
      <c r="D28" s="11"/>
    </row>
    <row r="29" spans="1:4" ht="15" customHeight="1" x14ac:dyDescent="0.3">
      <c r="A29" s="3" t="s">
        <v>59</v>
      </c>
      <c r="B29" s="3"/>
      <c r="C29" s="3"/>
      <c r="D29" s="3"/>
    </row>
    <row r="30" spans="1:4" ht="15" customHeight="1" x14ac:dyDescent="0.3">
      <c r="A30" s="12" t="s">
        <v>60</v>
      </c>
      <c r="B30" s="12" t="s">
        <v>61</v>
      </c>
      <c r="C30" s="12" t="s">
        <v>10</v>
      </c>
      <c r="D30" s="12" t="s">
        <v>11</v>
      </c>
    </row>
    <row r="31" spans="1:4" ht="15" customHeight="1" x14ac:dyDescent="0.3">
      <c r="A31" s="13" t="s">
        <v>62</v>
      </c>
      <c r="B31" s="20">
        <v>525</v>
      </c>
      <c r="C31" s="15" t="s">
        <v>63</v>
      </c>
      <c r="D31" s="16" t="s">
        <v>64</v>
      </c>
    </row>
    <row r="32" spans="1:4" ht="15" customHeight="1" x14ac:dyDescent="0.3">
      <c r="A32" s="13" t="s">
        <v>65</v>
      </c>
      <c r="B32" s="20">
        <v>635</v>
      </c>
      <c r="C32" s="15" t="s">
        <v>63</v>
      </c>
      <c r="D32" s="16" t="s">
        <v>66</v>
      </c>
    </row>
    <row r="33" spans="1:4" ht="15" customHeight="1" x14ac:dyDescent="0.3">
      <c r="A33" s="13" t="s">
        <v>67</v>
      </c>
      <c r="B33" s="20">
        <v>1500</v>
      </c>
      <c r="C33" s="15" t="s">
        <v>63</v>
      </c>
      <c r="D33" s="16" t="s">
        <v>68</v>
      </c>
    </row>
    <row r="34" spans="1:4" ht="15" customHeight="1" x14ac:dyDescent="0.3">
      <c r="A34" s="13" t="s">
        <v>69</v>
      </c>
      <c r="B34" s="20">
        <v>1570</v>
      </c>
      <c r="C34" s="15" t="s">
        <v>63</v>
      </c>
      <c r="D34" s="16" t="s">
        <v>70</v>
      </c>
    </row>
    <row r="35" spans="1:4" ht="15" customHeight="1" x14ac:dyDescent="0.3">
      <c r="A35" s="13" t="s">
        <v>71</v>
      </c>
      <c r="B35" s="20">
        <v>25</v>
      </c>
      <c r="C35" s="15" t="s">
        <v>72</v>
      </c>
      <c r="D35" s="16" t="s">
        <v>73</v>
      </c>
    </row>
    <row r="36" spans="1:4" ht="15" customHeight="1" x14ac:dyDescent="0.3">
      <c r="A36" s="13" t="s">
        <v>74</v>
      </c>
      <c r="B36" s="20">
        <v>0.05</v>
      </c>
      <c r="C36" s="15" t="s">
        <v>63</v>
      </c>
      <c r="D36" s="16" t="s">
        <v>75</v>
      </c>
    </row>
    <row r="37" spans="1:4" ht="15" customHeight="1" x14ac:dyDescent="0.3">
      <c r="A37" s="13" t="s">
        <v>76</v>
      </c>
      <c r="B37" s="20">
        <v>33.5</v>
      </c>
      <c r="C37" s="15" t="s">
        <v>63</v>
      </c>
      <c r="D37" s="16" t="s">
        <v>77</v>
      </c>
    </row>
    <row r="38" spans="1:4" ht="15" customHeight="1" x14ac:dyDescent="0.3">
      <c r="A38" s="13" t="s">
        <v>78</v>
      </c>
      <c r="B38" s="20">
        <v>0.08</v>
      </c>
      <c r="C38" s="15" t="s">
        <v>79</v>
      </c>
      <c r="D38" s="16" t="s">
        <v>80</v>
      </c>
    </row>
    <row r="39" spans="1:4" ht="6.75" customHeight="1" x14ac:dyDescent="0.3">
      <c r="A39" s="11"/>
      <c r="B39" s="11"/>
      <c r="C39" s="11"/>
      <c r="D39" s="11"/>
    </row>
    <row r="40" spans="1:4" ht="15" customHeight="1" x14ac:dyDescent="0.3">
      <c r="A40" s="3" t="s">
        <v>81</v>
      </c>
      <c r="B40" s="3"/>
      <c r="C40" s="3"/>
      <c r="D40" s="3"/>
    </row>
    <row r="41" spans="1:4" ht="15" customHeight="1" x14ac:dyDescent="0.3">
      <c r="A41" s="12" t="s">
        <v>82</v>
      </c>
      <c r="B41" s="12" t="s">
        <v>83</v>
      </c>
      <c r="C41" s="12" t="s">
        <v>10</v>
      </c>
      <c r="D41" s="12" t="s">
        <v>84</v>
      </c>
    </row>
    <row r="42" spans="1:4" ht="15" customHeight="1" x14ac:dyDescent="0.3">
      <c r="A42" s="13" t="s">
        <v>85</v>
      </c>
      <c r="B42" s="21">
        <v>147924</v>
      </c>
      <c r="C42" s="15" t="s">
        <v>86</v>
      </c>
      <c r="D42" s="16" t="s">
        <v>87</v>
      </c>
    </row>
  </sheetData>
  <mergeCells count="6">
    <mergeCell ref="A40:D40"/>
    <mergeCell ref="A1:D1"/>
    <mergeCell ref="A2:D2"/>
    <mergeCell ref="A5:D5"/>
    <mergeCell ref="A21:D21"/>
    <mergeCell ref="A29:D2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F49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640625" defaultRowHeight="14.4" x14ac:dyDescent="0.3"/>
  <cols>
    <col min="1" max="1" width="38" customWidth="1"/>
    <col min="2" max="2" width="22" customWidth="1"/>
    <col min="3" max="3" width="16" customWidth="1"/>
    <col min="4" max="4" width="14" customWidth="1"/>
    <col min="5" max="5" width="18" customWidth="1"/>
    <col min="6" max="6" width="24" customWidth="1"/>
  </cols>
  <sheetData>
    <row r="1" spans="1:6" ht="30" customHeight="1" x14ac:dyDescent="0.3">
      <c r="A1" s="5" t="s">
        <v>88</v>
      </c>
      <c r="B1" s="5"/>
      <c r="C1" s="5"/>
      <c r="D1" s="5"/>
      <c r="E1" s="5"/>
      <c r="F1" s="5"/>
    </row>
    <row r="2" spans="1:6" ht="15" customHeight="1" x14ac:dyDescent="0.3">
      <c r="A2" s="4" t="s">
        <v>89</v>
      </c>
      <c r="B2" s="4"/>
      <c r="C2" s="4"/>
      <c r="D2" s="4"/>
      <c r="E2" s="4"/>
      <c r="F2" s="4"/>
    </row>
    <row r="3" spans="1:6" ht="15" customHeight="1" x14ac:dyDescent="0.3">
      <c r="A3" s="6" t="s">
        <v>2</v>
      </c>
      <c r="B3" s="7" t="s">
        <v>3</v>
      </c>
      <c r="C3" s="8" t="s">
        <v>4</v>
      </c>
      <c r="D3" s="9" t="s">
        <v>5</v>
      </c>
      <c r="E3" s="10" t="s">
        <v>6</v>
      </c>
    </row>
    <row r="4" spans="1:6" ht="6.75" customHeight="1" x14ac:dyDescent="0.3">
      <c r="A4" s="11"/>
      <c r="B4" s="11"/>
      <c r="C4" s="11"/>
      <c r="D4" s="11"/>
      <c r="E4" s="11"/>
      <c r="F4" s="11"/>
    </row>
    <row r="5" spans="1:6" ht="15" customHeight="1" x14ac:dyDescent="0.3">
      <c r="A5" s="3" t="s">
        <v>90</v>
      </c>
      <c r="B5" s="3"/>
      <c r="C5" s="3"/>
      <c r="D5" s="3"/>
      <c r="E5" s="3"/>
      <c r="F5" s="3"/>
    </row>
    <row r="6" spans="1:6" ht="26.25" customHeight="1" x14ac:dyDescent="0.3">
      <c r="A6" s="12" t="s">
        <v>91</v>
      </c>
      <c r="B6" s="12" t="s">
        <v>92</v>
      </c>
      <c r="C6" s="12" t="s">
        <v>93</v>
      </c>
      <c r="D6" s="12" t="s">
        <v>94</v>
      </c>
      <c r="E6" s="12" t="s">
        <v>95</v>
      </c>
      <c r="F6" s="12" t="s">
        <v>84</v>
      </c>
    </row>
    <row r="7" spans="1:6" ht="15" customHeight="1" x14ac:dyDescent="0.3">
      <c r="A7" s="13" t="s">
        <v>96</v>
      </c>
      <c r="B7" s="16" t="s">
        <v>97</v>
      </c>
      <c r="C7" s="21">
        <v>50000</v>
      </c>
      <c r="D7" s="22">
        <v>4</v>
      </c>
      <c r="E7" s="23">
        <f t="shared" ref="E7:E24" si="0">C7*D7</f>
        <v>200000</v>
      </c>
      <c r="F7" s="24"/>
    </row>
    <row r="8" spans="1:6" ht="15" customHeight="1" x14ac:dyDescent="0.3">
      <c r="A8" s="13" t="s">
        <v>98</v>
      </c>
      <c r="B8" s="16" t="s">
        <v>99</v>
      </c>
      <c r="C8" s="21">
        <v>12000</v>
      </c>
      <c r="D8" s="22">
        <v>4</v>
      </c>
      <c r="E8" s="23">
        <f t="shared" si="0"/>
        <v>48000</v>
      </c>
      <c r="F8" s="24"/>
    </row>
    <row r="9" spans="1:6" ht="15" customHeight="1" x14ac:dyDescent="0.3">
      <c r="A9" s="13" t="s">
        <v>100</v>
      </c>
      <c r="B9" s="16" t="s">
        <v>101</v>
      </c>
      <c r="C9" s="21">
        <v>8000</v>
      </c>
      <c r="D9" s="22">
        <v>4</v>
      </c>
      <c r="E9" s="23">
        <f t="shared" si="0"/>
        <v>32000</v>
      </c>
      <c r="F9" s="24"/>
    </row>
    <row r="10" spans="1:6" ht="15" customHeight="1" x14ac:dyDescent="0.3">
      <c r="A10" s="13" t="s">
        <v>102</v>
      </c>
      <c r="B10" s="16" t="s">
        <v>103</v>
      </c>
      <c r="C10" s="21">
        <v>14000</v>
      </c>
      <c r="D10" s="22">
        <v>4</v>
      </c>
      <c r="E10" s="23">
        <f t="shared" si="0"/>
        <v>56000</v>
      </c>
      <c r="F10" s="24"/>
    </row>
    <row r="11" spans="1:6" ht="15" customHeight="1" x14ac:dyDescent="0.3">
      <c r="A11" s="13" t="s">
        <v>104</v>
      </c>
      <c r="B11" s="16" t="s">
        <v>105</v>
      </c>
      <c r="C11" s="21">
        <v>11000</v>
      </c>
      <c r="D11" s="22">
        <v>4</v>
      </c>
      <c r="E11" s="23">
        <f t="shared" si="0"/>
        <v>44000</v>
      </c>
      <c r="F11" s="24"/>
    </row>
    <row r="12" spans="1:6" ht="15" customHeight="1" x14ac:dyDescent="0.3">
      <c r="A12" s="13" t="s">
        <v>106</v>
      </c>
      <c r="B12" s="16" t="s">
        <v>107</v>
      </c>
      <c r="C12" s="21">
        <v>7000</v>
      </c>
      <c r="D12" s="22">
        <v>4</v>
      </c>
      <c r="E12" s="23">
        <f t="shared" si="0"/>
        <v>28000</v>
      </c>
      <c r="F12" s="24"/>
    </row>
    <row r="13" spans="1:6" ht="15" customHeight="1" x14ac:dyDescent="0.3">
      <c r="A13" s="13" t="s">
        <v>108</v>
      </c>
      <c r="B13" s="16" t="s">
        <v>109</v>
      </c>
      <c r="C13" s="21">
        <v>40000</v>
      </c>
      <c r="D13" s="22">
        <v>4</v>
      </c>
      <c r="E13" s="23">
        <f t="shared" si="0"/>
        <v>160000</v>
      </c>
      <c r="F13" s="24"/>
    </row>
    <row r="14" spans="1:6" ht="15" customHeight="1" x14ac:dyDescent="0.3">
      <c r="A14" s="13" t="s">
        <v>110</v>
      </c>
      <c r="B14" s="16" t="s">
        <v>111</v>
      </c>
      <c r="C14" s="21">
        <v>15000</v>
      </c>
      <c r="D14" s="22">
        <v>4</v>
      </c>
      <c r="E14" s="23">
        <f t="shared" si="0"/>
        <v>60000</v>
      </c>
      <c r="F14" s="24"/>
    </row>
    <row r="15" spans="1:6" ht="15" customHeight="1" x14ac:dyDescent="0.3">
      <c r="A15" s="13" t="s">
        <v>112</v>
      </c>
      <c r="B15" s="16" t="s">
        <v>113</v>
      </c>
      <c r="C15" s="21">
        <v>12000</v>
      </c>
      <c r="D15" s="22">
        <v>4</v>
      </c>
      <c r="E15" s="23">
        <f t="shared" si="0"/>
        <v>48000</v>
      </c>
      <c r="F15" s="24"/>
    </row>
    <row r="16" spans="1:6" ht="15" customHeight="1" x14ac:dyDescent="0.3">
      <c r="A16" s="13" t="s">
        <v>114</v>
      </c>
      <c r="B16" s="16" t="s">
        <v>115</v>
      </c>
      <c r="C16" s="21">
        <v>35000</v>
      </c>
      <c r="D16" s="22">
        <v>4</v>
      </c>
      <c r="E16" s="23">
        <f t="shared" si="0"/>
        <v>140000</v>
      </c>
      <c r="F16" s="24"/>
    </row>
    <row r="17" spans="1:6" ht="15" customHeight="1" x14ac:dyDescent="0.3">
      <c r="A17" s="13" t="s">
        <v>116</v>
      </c>
      <c r="B17" s="16" t="s">
        <v>117</v>
      </c>
      <c r="C17" s="21">
        <v>32000</v>
      </c>
      <c r="D17" s="22">
        <v>4</v>
      </c>
      <c r="E17" s="23">
        <f t="shared" si="0"/>
        <v>128000</v>
      </c>
      <c r="F17" s="24"/>
    </row>
    <row r="18" spans="1:6" ht="15" customHeight="1" x14ac:dyDescent="0.3">
      <c r="A18" s="13" t="s">
        <v>118</v>
      </c>
      <c r="B18" s="16" t="s">
        <v>119</v>
      </c>
      <c r="C18" s="21">
        <v>8000</v>
      </c>
      <c r="D18" s="22">
        <v>4</v>
      </c>
      <c r="E18" s="23">
        <f t="shared" si="0"/>
        <v>32000</v>
      </c>
      <c r="F18" s="24"/>
    </row>
    <row r="19" spans="1:6" ht="15" customHeight="1" x14ac:dyDescent="0.3">
      <c r="A19" s="13" t="s">
        <v>120</v>
      </c>
      <c r="B19" s="16" t="s">
        <v>121</v>
      </c>
      <c r="C19" s="21">
        <v>18000</v>
      </c>
      <c r="D19" s="22">
        <v>4</v>
      </c>
      <c r="E19" s="23">
        <f t="shared" si="0"/>
        <v>72000</v>
      </c>
      <c r="F19" s="24"/>
    </row>
    <row r="20" spans="1:6" ht="15" customHeight="1" x14ac:dyDescent="0.3">
      <c r="A20" s="13" t="s">
        <v>122</v>
      </c>
      <c r="B20" s="16" t="s">
        <v>123</v>
      </c>
      <c r="C20" s="21">
        <v>6000</v>
      </c>
      <c r="D20" s="22">
        <v>4</v>
      </c>
      <c r="E20" s="23">
        <f t="shared" si="0"/>
        <v>24000</v>
      </c>
      <c r="F20" s="24"/>
    </row>
    <row r="21" spans="1:6" ht="15" customHeight="1" x14ac:dyDescent="0.3">
      <c r="A21" s="13" t="s">
        <v>124</v>
      </c>
      <c r="B21" s="16" t="s">
        <v>125</v>
      </c>
      <c r="C21" s="21">
        <v>60000</v>
      </c>
      <c r="D21" s="22">
        <v>4</v>
      </c>
      <c r="E21" s="23">
        <f t="shared" si="0"/>
        <v>240000</v>
      </c>
      <c r="F21" s="24"/>
    </row>
    <row r="22" spans="1:6" ht="15" customHeight="1" x14ac:dyDescent="0.3">
      <c r="A22" s="13" t="s">
        <v>126</v>
      </c>
      <c r="B22" s="16" t="s">
        <v>127</v>
      </c>
      <c r="C22" s="21">
        <v>40000</v>
      </c>
      <c r="D22" s="22">
        <v>4</v>
      </c>
      <c r="E22" s="23">
        <f t="shared" si="0"/>
        <v>160000</v>
      </c>
      <c r="F22" s="24"/>
    </row>
    <row r="23" spans="1:6" ht="15" customHeight="1" x14ac:dyDescent="0.3">
      <c r="A23" s="13" t="s">
        <v>128</v>
      </c>
      <c r="B23" s="16" t="s">
        <v>129</v>
      </c>
      <c r="C23" s="21">
        <v>30000</v>
      </c>
      <c r="D23" s="22">
        <v>4</v>
      </c>
      <c r="E23" s="23">
        <f t="shared" si="0"/>
        <v>120000</v>
      </c>
      <c r="F23" s="24"/>
    </row>
    <row r="24" spans="1:6" ht="15" customHeight="1" x14ac:dyDescent="0.3">
      <c r="A24" s="13" t="s">
        <v>130</v>
      </c>
      <c r="B24" s="16" t="s">
        <v>131</v>
      </c>
      <c r="C24" s="21">
        <v>20000</v>
      </c>
      <c r="D24" s="22">
        <v>4</v>
      </c>
      <c r="E24" s="23">
        <f t="shared" si="0"/>
        <v>80000</v>
      </c>
      <c r="F24" s="24"/>
    </row>
    <row r="25" spans="1:6" ht="15" customHeight="1" x14ac:dyDescent="0.3">
      <c r="A25" s="25" t="s">
        <v>132</v>
      </c>
      <c r="B25" s="26"/>
      <c r="C25" s="27">
        <f>SUM(C7:C24)</f>
        <v>418000</v>
      </c>
      <c r="D25" s="26"/>
      <c r="E25" s="27">
        <f>SUM(E7:E24)</f>
        <v>1672000</v>
      </c>
      <c r="F25" s="26"/>
    </row>
    <row r="26" spans="1:6" ht="6.75" customHeight="1" x14ac:dyDescent="0.3">
      <c r="A26" s="11"/>
      <c r="B26" s="11"/>
      <c r="C26" s="11"/>
      <c r="D26" s="11"/>
      <c r="E26" s="11"/>
      <c r="F26" s="11"/>
    </row>
    <row r="27" spans="1:6" ht="15" customHeight="1" x14ac:dyDescent="0.3">
      <c r="A27" s="3" t="s">
        <v>133</v>
      </c>
      <c r="B27" s="3"/>
      <c r="C27" s="3"/>
      <c r="D27" s="3"/>
      <c r="E27" s="3"/>
      <c r="F27" s="3"/>
    </row>
    <row r="28" spans="1:6" ht="15" customHeight="1" x14ac:dyDescent="0.3">
      <c r="A28" s="12" t="s">
        <v>134</v>
      </c>
      <c r="B28" s="12" t="s">
        <v>135</v>
      </c>
      <c r="C28" s="12" t="s">
        <v>136</v>
      </c>
      <c r="D28" s="12" t="s">
        <v>14</v>
      </c>
      <c r="E28" s="12" t="s">
        <v>14</v>
      </c>
      <c r="F28" s="12" t="s">
        <v>84</v>
      </c>
    </row>
    <row r="29" spans="1:6" ht="15" customHeight="1" x14ac:dyDescent="0.3">
      <c r="A29" s="28" t="s">
        <v>137</v>
      </c>
      <c r="B29" s="29" t="s">
        <v>138</v>
      </c>
      <c r="C29" s="23">
        <f>E25*0.15</f>
        <v>250800</v>
      </c>
      <c r="D29" s="30"/>
      <c r="E29" s="30"/>
      <c r="F29" s="31"/>
    </row>
    <row r="30" spans="1:6" ht="15" customHeight="1" x14ac:dyDescent="0.3">
      <c r="A30" s="28" t="s">
        <v>139</v>
      </c>
      <c r="B30" s="29" t="s">
        <v>138</v>
      </c>
      <c r="C30" s="23">
        <f>E25*0.15</f>
        <v>250800</v>
      </c>
      <c r="D30" s="30"/>
      <c r="E30" s="30"/>
      <c r="F30" s="31"/>
    </row>
    <row r="31" spans="1:6" ht="15" customHeight="1" x14ac:dyDescent="0.3">
      <c r="A31" s="25" t="s">
        <v>140</v>
      </c>
      <c r="B31" s="32" t="s">
        <v>141</v>
      </c>
      <c r="C31" s="27">
        <f>E25+C29+C30</f>
        <v>2173600</v>
      </c>
      <c r="D31" s="33"/>
      <c r="E31" s="33"/>
      <c r="F31" s="34"/>
    </row>
    <row r="32" spans="1:6" ht="15" customHeight="1" x14ac:dyDescent="0.3">
      <c r="A32" s="28" t="s">
        <v>142</v>
      </c>
      <c r="B32" s="29" t="s">
        <v>143</v>
      </c>
      <c r="C32" s="23">
        <f>C31*0.4</f>
        <v>869440</v>
      </c>
      <c r="D32" s="30"/>
      <c r="E32" s="30"/>
      <c r="F32" s="31"/>
    </row>
    <row r="33" spans="1:6" ht="15" customHeight="1" x14ac:dyDescent="0.3">
      <c r="A33" s="35" t="s">
        <v>144</v>
      </c>
      <c r="B33" s="36" t="s">
        <v>145</v>
      </c>
      <c r="C33" s="21">
        <v>50000</v>
      </c>
      <c r="D33" s="37"/>
      <c r="E33" s="37"/>
      <c r="F33" s="38"/>
    </row>
    <row r="34" spans="1:6" ht="15" customHeight="1" x14ac:dyDescent="0.3">
      <c r="A34" s="35" t="s">
        <v>146</v>
      </c>
      <c r="B34" s="36" t="s">
        <v>147</v>
      </c>
      <c r="C34" s="21">
        <v>5948430</v>
      </c>
      <c r="D34" s="37"/>
      <c r="E34" s="37"/>
      <c r="F34" s="38"/>
    </row>
    <row r="35" spans="1:6" ht="15" customHeight="1" x14ac:dyDescent="0.3">
      <c r="A35" s="39" t="s">
        <v>148</v>
      </c>
      <c r="B35" s="40" t="s">
        <v>149</v>
      </c>
      <c r="C35" s="41">
        <f>OPEX!D34*(Assumptions!B25/100)</f>
        <v>1997317.4575</v>
      </c>
      <c r="D35" s="42"/>
      <c r="E35" s="42"/>
      <c r="F35" s="43"/>
    </row>
    <row r="36" spans="1:6" ht="6.75" customHeight="1" x14ac:dyDescent="0.3">
      <c r="A36" s="11"/>
      <c r="B36" s="11"/>
      <c r="C36" s="11"/>
      <c r="D36" s="11"/>
      <c r="E36" s="11"/>
      <c r="F36" s="11"/>
    </row>
    <row r="37" spans="1:6" ht="15" customHeight="1" x14ac:dyDescent="0.3">
      <c r="A37" s="3" t="s">
        <v>150</v>
      </c>
      <c r="B37" s="3"/>
      <c r="C37" s="3"/>
      <c r="D37" s="3"/>
      <c r="E37" s="3"/>
      <c r="F37" s="3"/>
    </row>
    <row r="38" spans="1:6" ht="15" customHeight="1" x14ac:dyDescent="0.3">
      <c r="A38" s="44" t="s">
        <v>151</v>
      </c>
      <c r="B38" s="23">
        <f>C34/Assumptions!B19</f>
        <v>594843</v>
      </c>
      <c r="C38" s="45">
        <f>1/Assumptions!B19</f>
        <v>0.1</v>
      </c>
      <c r="D38" s="46" t="s">
        <v>86</v>
      </c>
      <c r="E38" s="41">
        <f>C34</f>
        <v>5948430</v>
      </c>
      <c r="F38" s="24" t="s">
        <v>152</v>
      </c>
    </row>
    <row r="39" spans="1:6" ht="39" customHeight="1" x14ac:dyDescent="0.3">
      <c r="A39" s="12" t="s">
        <v>153</v>
      </c>
      <c r="B39" s="12" t="s">
        <v>154</v>
      </c>
      <c r="C39" s="12" t="s">
        <v>155</v>
      </c>
      <c r="D39" s="12" t="s">
        <v>156</v>
      </c>
      <c r="E39" s="12" t="s">
        <v>157</v>
      </c>
      <c r="F39" s="12" t="s">
        <v>158</v>
      </c>
    </row>
    <row r="40" spans="1:6" ht="15" customHeight="1" x14ac:dyDescent="0.3">
      <c r="A40" s="47">
        <v>1</v>
      </c>
      <c r="B40" s="23">
        <f>C34/Assumptions!B19</f>
        <v>594843</v>
      </c>
      <c r="C40" s="23">
        <f>SUM(B40:B40)</f>
        <v>594843</v>
      </c>
      <c r="D40" s="23">
        <f>C34-C40</f>
        <v>5353587</v>
      </c>
      <c r="E40" s="48">
        <f>1/Assumptions!B19</f>
        <v>0.1</v>
      </c>
      <c r="F40" s="46"/>
    </row>
    <row r="41" spans="1:6" ht="15" customHeight="1" x14ac:dyDescent="0.3">
      <c r="A41" s="49">
        <v>2</v>
      </c>
      <c r="B41" s="23">
        <f>C34/Assumptions!B19</f>
        <v>594843</v>
      </c>
      <c r="C41" s="23">
        <f>SUM(B40:B41)</f>
        <v>1189686</v>
      </c>
      <c r="D41" s="23">
        <f>C34-C41</f>
        <v>4758744</v>
      </c>
      <c r="E41" s="48">
        <f>1/Assumptions!B19</f>
        <v>0.1</v>
      </c>
      <c r="F41" s="46"/>
    </row>
    <row r="42" spans="1:6" ht="15" customHeight="1" x14ac:dyDescent="0.3">
      <c r="A42" s="47">
        <v>3</v>
      </c>
      <c r="B42" s="23">
        <f>C34/Assumptions!B19</f>
        <v>594843</v>
      </c>
      <c r="C42" s="23">
        <f>SUM(B40:B42)</f>
        <v>1784529</v>
      </c>
      <c r="D42" s="23">
        <f>C34-C42</f>
        <v>4163901</v>
      </c>
      <c r="E42" s="48">
        <f>1/Assumptions!B19</f>
        <v>0.1</v>
      </c>
      <c r="F42" s="46"/>
    </row>
    <row r="43" spans="1:6" ht="15" customHeight="1" x14ac:dyDescent="0.3">
      <c r="A43" s="49">
        <v>4</v>
      </c>
      <c r="B43" s="23">
        <f>C34/Assumptions!B19</f>
        <v>594843</v>
      </c>
      <c r="C43" s="23">
        <f>SUM(B40:B43)</f>
        <v>2379372</v>
      </c>
      <c r="D43" s="23">
        <f>C34-C43</f>
        <v>3569058</v>
      </c>
      <c r="E43" s="48">
        <f>1/Assumptions!B19</f>
        <v>0.1</v>
      </c>
      <c r="F43" s="46"/>
    </row>
    <row r="44" spans="1:6" ht="15" customHeight="1" x14ac:dyDescent="0.3">
      <c r="A44" s="47">
        <v>5</v>
      </c>
      <c r="B44" s="23">
        <f>C34/Assumptions!B19</f>
        <v>594843</v>
      </c>
      <c r="C44" s="23">
        <f>SUM(B40:B44)</f>
        <v>2974215</v>
      </c>
      <c r="D44" s="23">
        <f>C34-C44</f>
        <v>2974215</v>
      </c>
      <c r="E44" s="48">
        <f>1/Assumptions!B19</f>
        <v>0.1</v>
      </c>
      <c r="F44" s="46"/>
    </row>
    <row r="45" spans="1:6" ht="15" customHeight="1" x14ac:dyDescent="0.3">
      <c r="A45" s="49">
        <v>6</v>
      </c>
      <c r="B45" s="23">
        <f>C34/Assumptions!B19</f>
        <v>594843</v>
      </c>
      <c r="C45" s="23">
        <f>SUM(B40:B45)</f>
        <v>3569058</v>
      </c>
      <c r="D45" s="23">
        <f>C34-C45</f>
        <v>2379372</v>
      </c>
      <c r="E45" s="48">
        <f>1/Assumptions!B19</f>
        <v>0.1</v>
      </c>
      <c r="F45" s="46"/>
    </row>
    <row r="46" spans="1:6" ht="15" customHeight="1" x14ac:dyDescent="0.3">
      <c r="A46" s="47">
        <v>7</v>
      </c>
      <c r="B46" s="23">
        <f>C34/Assumptions!B19</f>
        <v>594843</v>
      </c>
      <c r="C46" s="23">
        <f>SUM(B40:B46)</f>
        <v>4163901</v>
      </c>
      <c r="D46" s="23">
        <f>C34-C46</f>
        <v>1784529</v>
      </c>
      <c r="E46" s="48">
        <f>1/Assumptions!B19</f>
        <v>0.1</v>
      </c>
      <c r="F46" s="46"/>
    </row>
    <row r="47" spans="1:6" ht="15" customHeight="1" x14ac:dyDescent="0.3">
      <c r="A47" s="49">
        <v>8</v>
      </c>
      <c r="B47" s="23">
        <f>C34/Assumptions!B19</f>
        <v>594843</v>
      </c>
      <c r="C47" s="23">
        <f>SUM(B40:B47)</f>
        <v>4758744</v>
      </c>
      <c r="D47" s="23">
        <f>C34-C47</f>
        <v>1189686</v>
      </c>
      <c r="E47" s="48">
        <f>1/Assumptions!B19</f>
        <v>0.1</v>
      </c>
      <c r="F47" s="46"/>
    </row>
    <row r="48" spans="1:6" ht="15" customHeight="1" x14ac:dyDescent="0.3">
      <c r="A48" s="47">
        <v>9</v>
      </c>
      <c r="B48" s="23">
        <f>C34/Assumptions!B19</f>
        <v>594843</v>
      </c>
      <c r="C48" s="23">
        <f>SUM(B40:B48)</f>
        <v>5353587</v>
      </c>
      <c r="D48" s="23">
        <f>C34-C48</f>
        <v>594843</v>
      </c>
      <c r="E48" s="48">
        <f>1/Assumptions!B19</f>
        <v>0.1</v>
      </c>
      <c r="F48" s="46"/>
    </row>
    <row r="49" spans="1:6" ht="15" customHeight="1" x14ac:dyDescent="0.3">
      <c r="A49" s="49">
        <v>10</v>
      </c>
      <c r="B49" s="23">
        <f>C34/Assumptions!B19</f>
        <v>594843</v>
      </c>
      <c r="C49" s="23">
        <f>SUM(B40:B49)</f>
        <v>5948430</v>
      </c>
      <c r="D49" s="23">
        <f>C34-C49</f>
        <v>0</v>
      </c>
      <c r="E49" s="48">
        <f>1/Assumptions!B19</f>
        <v>0.1</v>
      </c>
      <c r="F49" s="46" t="s">
        <v>159</v>
      </c>
    </row>
  </sheetData>
  <mergeCells count="5">
    <mergeCell ref="A1:F1"/>
    <mergeCell ref="A2:F2"/>
    <mergeCell ref="A5:F5"/>
    <mergeCell ref="A27:F27"/>
    <mergeCell ref="A37:F3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4B942"/>
  </sheetPr>
  <dimension ref="A1:E49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640625" defaultRowHeight="14.4" x14ac:dyDescent="0.3"/>
  <cols>
    <col min="1" max="1" width="30" customWidth="1"/>
    <col min="2" max="2" width="28" customWidth="1"/>
    <col min="3" max="3" width="22" customWidth="1"/>
    <col min="4" max="4" width="18" customWidth="1"/>
    <col min="5" max="5" width="12" customWidth="1"/>
  </cols>
  <sheetData>
    <row r="1" spans="1:5" ht="30" customHeight="1" x14ac:dyDescent="0.3">
      <c r="A1" s="5" t="s">
        <v>160</v>
      </c>
      <c r="B1" s="5"/>
      <c r="C1" s="5"/>
      <c r="D1" s="5"/>
      <c r="E1" s="5"/>
    </row>
    <row r="2" spans="1:5" ht="15" customHeight="1" x14ac:dyDescent="0.3">
      <c r="A2" s="4" t="s">
        <v>161</v>
      </c>
      <c r="B2" s="4"/>
      <c r="C2" s="4"/>
      <c r="D2" s="4"/>
      <c r="E2" s="4"/>
    </row>
    <row r="3" spans="1:5" ht="15" customHeight="1" x14ac:dyDescent="0.3">
      <c r="A3" s="6" t="s">
        <v>2</v>
      </c>
      <c r="B3" s="7" t="s">
        <v>3</v>
      </c>
      <c r="C3" s="8" t="s">
        <v>4</v>
      </c>
      <c r="D3" s="9" t="s">
        <v>5</v>
      </c>
      <c r="E3" s="10" t="s">
        <v>6</v>
      </c>
    </row>
    <row r="4" spans="1:5" ht="6.75" customHeight="1" x14ac:dyDescent="0.3">
      <c r="A4" s="11"/>
      <c r="B4" s="11"/>
      <c r="C4" s="11"/>
      <c r="D4" s="11"/>
      <c r="E4" s="11"/>
    </row>
    <row r="5" spans="1:5" ht="15" customHeight="1" x14ac:dyDescent="0.3">
      <c r="A5" s="3" t="s">
        <v>162</v>
      </c>
      <c r="B5" s="3"/>
      <c r="C5" s="3"/>
      <c r="D5" s="3"/>
      <c r="E5" s="3"/>
    </row>
    <row r="6" spans="1:5" ht="26.25" customHeight="1" x14ac:dyDescent="0.3">
      <c r="A6" s="12" t="s">
        <v>163</v>
      </c>
      <c r="B6" s="12" t="s">
        <v>164</v>
      </c>
      <c r="C6" s="12" t="s">
        <v>165</v>
      </c>
      <c r="D6" s="12" t="s">
        <v>166</v>
      </c>
      <c r="E6" s="12" t="s">
        <v>167</v>
      </c>
    </row>
    <row r="7" spans="1:5" ht="15" customHeight="1" x14ac:dyDescent="0.3">
      <c r="A7" s="2" t="s">
        <v>168</v>
      </c>
      <c r="B7" s="2"/>
      <c r="C7" s="2"/>
      <c r="D7" s="2"/>
      <c r="E7" s="2"/>
    </row>
    <row r="8" spans="1:5" ht="15" customHeight="1" x14ac:dyDescent="0.3">
      <c r="A8" s="50" t="s">
        <v>16</v>
      </c>
      <c r="B8" s="13" t="s">
        <v>17</v>
      </c>
      <c r="C8" s="16" t="s">
        <v>169</v>
      </c>
      <c r="D8" s="23">
        <f>Assumptions!B11*Assumptions!B31</f>
        <v>12600000</v>
      </c>
      <c r="E8" s="51">
        <f>D8/D34</f>
        <v>0.94626920367765321</v>
      </c>
    </row>
    <row r="9" spans="1:5" ht="15" customHeight="1" x14ac:dyDescent="0.3">
      <c r="A9" s="2" t="s">
        <v>170</v>
      </c>
      <c r="B9" s="2"/>
      <c r="C9" s="2"/>
      <c r="D9" s="2"/>
      <c r="E9" s="2"/>
    </row>
    <row r="10" spans="1:5" ht="15" customHeight="1" x14ac:dyDescent="0.3">
      <c r="A10" s="50" t="s">
        <v>171</v>
      </c>
      <c r="B10" s="13" t="s">
        <v>67</v>
      </c>
      <c r="C10" s="16" t="s">
        <v>172</v>
      </c>
      <c r="D10" s="23">
        <f>Assumptions!B14*Assumptions!B33</f>
        <v>107100.00000000001</v>
      </c>
      <c r="E10" s="51">
        <f>D10/D34</f>
        <v>8.0432882312600536E-3</v>
      </c>
    </row>
    <row r="11" spans="1:5" ht="15" customHeight="1" x14ac:dyDescent="0.3">
      <c r="A11" s="50" t="s">
        <v>171</v>
      </c>
      <c r="B11" s="13" t="s">
        <v>173</v>
      </c>
      <c r="C11" s="16" t="s">
        <v>174</v>
      </c>
      <c r="D11" s="23">
        <f>Assumptions!B15*Assumptions!B34</f>
        <v>133764</v>
      </c>
      <c r="E11" s="51">
        <f>D11/D34</f>
        <v>1.0045774107995047E-2</v>
      </c>
    </row>
    <row r="12" spans="1:5" ht="15" customHeight="1" x14ac:dyDescent="0.3">
      <c r="A12" s="50" t="s">
        <v>171</v>
      </c>
      <c r="B12" s="13" t="s">
        <v>175</v>
      </c>
      <c r="C12" s="16" t="s">
        <v>176</v>
      </c>
      <c r="D12" s="23">
        <f>Assumptions!B16*Assumptions!B35/Assumptions!B17</f>
        <v>16666.666666666668</v>
      </c>
      <c r="E12" s="51">
        <f>D12/D34</f>
        <v>1.2516788408434567E-3</v>
      </c>
    </row>
    <row r="13" spans="1:5" ht="15" customHeight="1" x14ac:dyDescent="0.3">
      <c r="A13" s="2" t="s">
        <v>177</v>
      </c>
      <c r="B13" s="2"/>
      <c r="C13" s="2"/>
      <c r="D13" s="2"/>
      <c r="E13" s="2"/>
    </row>
    <row r="14" spans="1:5" ht="15" customHeight="1" x14ac:dyDescent="0.3">
      <c r="A14" s="50" t="s">
        <v>178</v>
      </c>
      <c r="B14" s="13" t="s">
        <v>179</v>
      </c>
      <c r="C14" s="16" t="s">
        <v>180</v>
      </c>
      <c r="D14" s="23">
        <f>Assumptions!B42</f>
        <v>147924</v>
      </c>
      <c r="E14" s="51">
        <f>D14/D34</f>
        <v>1.1109200451175649E-2</v>
      </c>
    </row>
    <row r="15" spans="1:5" ht="15" customHeight="1" x14ac:dyDescent="0.3">
      <c r="A15" s="26"/>
      <c r="B15" s="25" t="s">
        <v>181</v>
      </c>
      <c r="C15" s="26"/>
      <c r="D15" s="27">
        <f>D8+D10+D11+D12+D14</f>
        <v>13005454.666666666</v>
      </c>
      <c r="E15" s="52">
        <f>D15/D34</f>
        <v>0.97671914530892734</v>
      </c>
    </row>
    <row r="16" spans="1:5" ht="6.75" customHeight="1" x14ac:dyDescent="0.3">
      <c r="A16" s="11"/>
      <c r="B16" s="11"/>
      <c r="C16" s="11"/>
      <c r="D16" s="11"/>
      <c r="E16" s="11"/>
    </row>
    <row r="17" spans="1:5" ht="15" customHeight="1" x14ac:dyDescent="0.3">
      <c r="A17" s="3" t="s">
        <v>182</v>
      </c>
      <c r="B17" s="3"/>
      <c r="C17" s="3"/>
      <c r="D17" s="3"/>
      <c r="E17" s="3"/>
    </row>
    <row r="18" spans="1:5" ht="26.25" customHeight="1" x14ac:dyDescent="0.3">
      <c r="A18" s="12" t="s">
        <v>163</v>
      </c>
      <c r="B18" s="12" t="s">
        <v>164</v>
      </c>
      <c r="C18" s="12" t="s">
        <v>165</v>
      </c>
      <c r="D18" s="12" t="s">
        <v>166</v>
      </c>
      <c r="E18" s="12" t="s">
        <v>167</v>
      </c>
    </row>
    <row r="19" spans="1:5" ht="15" customHeight="1" x14ac:dyDescent="0.3">
      <c r="A19" s="2" t="s">
        <v>183</v>
      </c>
      <c r="B19" s="2"/>
      <c r="C19" s="2"/>
      <c r="D19" s="2"/>
      <c r="E19" s="2"/>
    </row>
    <row r="20" spans="1:5" ht="15" customHeight="1" x14ac:dyDescent="0.3">
      <c r="A20" s="50" t="s">
        <v>184</v>
      </c>
      <c r="B20" s="13" t="s">
        <v>185</v>
      </c>
      <c r="C20" s="16" t="s">
        <v>186</v>
      </c>
      <c r="D20" s="23">
        <f>CAPEX!C34*0.03</f>
        <v>178452.9</v>
      </c>
      <c r="E20" s="51">
        <f>D20/D34</f>
        <v>1.3401943141029196E-2</v>
      </c>
    </row>
    <row r="21" spans="1:5" ht="15" customHeight="1" x14ac:dyDescent="0.3">
      <c r="A21" s="2" t="s">
        <v>187</v>
      </c>
      <c r="B21" s="2"/>
      <c r="C21" s="2"/>
      <c r="D21" s="2"/>
      <c r="E21" s="2"/>
    </row>
    <row r="22" spans="1:5" ht="15" customHeight="1" x14ac:dyDescent="0.3">
      <c r="A22" s="50" t="s">
        <v>188</v>
      </c>
      <c r="B22" s="13" t="s">
        <v>189</v>
      </c>
      <c r="C22" s="16" t="s">
        <v>190</v>
      </c>
      <c r="D22" s="23">
        <f>8*8500</f>
        <v>68000</v>
      </c>
      <c r="E22" s="51">
        <f>D22/D34</f>
        <v>5.106849670641303E-3</v>
      </c>
    </row>
    <row r="23" spans="1:5" ht="15" customHeight="1" x14ac:dyDescent="0.3">
      <c r="A23" s="50" t="s">
        <v>188</v>
      </c>
      <c r="B23" s="13" t="s">
        <v>191</v>
      </c>
      <c r="C23" s="16" t="s">
        <v>192</v>
      </c>
      <c r="D23" s="23">
        <f>D22*0.15</f>
        <v>10200</v>
      </c>
      <c r="E23" s="51">
        <f>D23/D34</f>
        <v>7.6602745059619552E-4</v>
      </c>
    </row>
    <row r="24" spans="1:5" ht="15" customHeight="1" x14ac:dyDescent="0.3">
      <c r="A24" s="50" t="s">
        <v>188</v>
      </c>
      <c r="B24" s="13" t="s">
        <v>193</v>
      </c>
      <c r="C24" s="16" t="s">
        <v>194</v>
      </c>
      <c r="D24" s="21">
        <v>10000</v>
      </c>
      <c r="E24" s="51">
        <f>D24/D34</f>
        <v>7.5100730450607394E-4</v>
      </c>
    </row>
    <row r="25" spans="1:5" ht="15" customHeight="1" x14ac:dyDescent="0.3">
      <c r="A25" s="2" t="s">
        <v>195</v>
      </c>
      <c r="B25" s="2"/>
      <c r="C25" s="2"/>
      <c r="D25" s="2"/>
      <c r="E25" s="2"/>
    </row>
    <row r="26" spans="1:5" ht="15" customHeight="1" x14ac:dyDescent="0.3">
      <c r="A26" s="50" t="s">
        <v>196</v>
      </c>
      <c r="B26" s="13" t="s">
        <v>197</v>
      </c>
      <c r="C26" s="16" t="s">
        <v>198</v>
      </c>
      <c r="D26" s="23">
        <f>CAPEX!C34*0.005</f>
        <v>29742.15</v>
      </c>
      <c r="E26" s="51">
        <f>D26/D34</f>
        <v>2.233657190171533E-3</v>
      </c>
    </row>
    <row r="27" spans="1:5" ht="15" customHeight="1" x14ac:dyDescent="0.3">
      <c r="A27" s="50" t="s">
        <v>199</v>
      </c>
      <c r="B27" s="13" t="s">
        <v>200</v>
      </c>
      <c r="C27" s="16" t="s">
        <v>201</v>
      </c>
      <c r="D27" s="23">
        <f>D22*0.2</f>
        <v>13600</v>
      </c>
      <c r="E27" s="51">
        <f>D27/D34</f>
        <v>1.0213699341282607E-3</v>
      </c>
    </row>
    <row r="28" spans="1:5" ht="15" customHeight="1" x14ac:dyDescent="0.3">
      <c r="A28" s="26"/>
      <c r="B28" s="25" t="s">
        <v>202</v>
      </c>
      <c r="C28" s="26"/>
      <c r="D28" s="27">
        <f>D20+D22+D23+D24+D26+D27</f>
        <v>309995.05000000005</v>
      </c>
      <c r="E28" s="52">
        <f>D28/D34</f>
        <v>2.3280854691072567E-2</v>
      </c>
    </row>
    <row r="29" spans="1:5" ht="6.75" customHeight="1" x14ac:dyDescent="0.3">
      <c r="A29" s="11"/>
      <c r="B29" s="11"/>
      <c r="C29" s="11"/>
      <c r="D29" s="11"/>
      <c r="E29" s="11"/>
    </row>
    <row r="30" spans="1:5" ht="15" customHeight="1" x14ac:dyDescent="0.3">
      <c r="A30" s="3" t="s">
        <v>203</v>
      </c>
      <c r="B30" s="3"/>
      <c r="C30" s="3"/>
      <c r="D30" s="3"/>
      <c r="E30" s="3"/>
    </row>
    <row r="31" spans="1:5" ht="26.25" customHeight="1" x14ac:dyDescent="0.3">
      <c r="A31" s="12" t="s">
        <v>204</v>
      </c>
      <c r="B31" s="12" t="s">
        <v>164</v>
      </c>
      <c r="C31" s="12" t="s">
        <v>135</v>
      </c>
      <c r="D31" s="12" t="s">
        <v>166</v>
      </c>
      <c r="E31" s="12" t="s">
        <v>205</v>
      </c>
    </row>
    <row r="32" spans="1:5" ht="15" customHeight="1" x14ac:dyDescent="0.3">
      <c r="A32" s="13" t="s">
        <v>206</v>
      </c>
      <c r="B32" s="24" t="s">
        <v>207</v>
      </c>
      <c r="C32" s="24" t="s">
        <v>208</v>
      </c>
      <c r="D32" s="41">
        <f>D15</f>
        <v>13005454.666666666</v>
      </c>
      <c r="E32" s="51">
        <f>D32/D34</f>
        <v>0.97671914530892734</v>
      </c>
    </row>
    <row r="33" spans="1:5" ht="15" customHeight="1" x14ac:dyDescent="0.3">
      <c r="A33" s="13" t="s">
        <v>209</v>
      </c>
      <c r="B33" s="24" t="s">
        <v>210</v>
      </c>
      <c r="C33" s="24" t="s">
        <v>211</v>
      </c>
      <c r="D33" s="41">
        <f>D28</f>
        <v>309995.05000000005</v>
      </c>
      <c r="E33" s="51">
        <f>D33/D34</f>
        <v>2.3280854691072567E-2</v>
      </c>
    </row>
    <row r="34" spans="1:5" ht="15" customHeight="1" x14ac:dyDescent="0.3">
      <c r="A34" s="25" t="s">
        <v>212</v>
      </c>
      <c r="B34" s="26"/>
      <c r="C34" s="26"/>
      <c r="D34" s="27">
        <f>D32+D33</f>
        <v>13315449.716666667</v>
      </c>
      <c r="E34" s="52">
        <f>100%</f>
        <v>1</v>
      </c>
    </row>
    <row r="35" spans="1:5" ht="6.75" customHeight="1" x14ac:dyDescent="0.3">
      <c r="A35" s="11"/>
      <c r="B35" s="11"/>
      <c r="C35" s="11"/>
      <c r="D35" s="11"/>
      <c r="E35" s="11"/>
    </row>
    <row r="36" spans="1:5" ht="15" customHeight="1" x14ac:dyDescent="0.3">
      <c r="A36" s="3" t="s">
        <v>213</v>
      </c>
      <c r="B36" s="3"/>
      <c r="C36" s="3"/>
      <c r="D36" s="3"/>
      <c r="E36" s="3"/>
    </row>
    <row r="37" spans="1:5" ht="15" customHeight="1" x14ac:dyDescent="0.3">
      <c r="A37" s="12" t="s">
        <v>164</v>
      </c>
      <c r="B37" s="12" t="s">
        <v>166</v>
      </c>
      <c r="C37" s="12" t="s">
        <v>214</v>
      </c>
      <c r="D37" s="12" t="s">
        <v>215</v>
      </c>
      <c r="E37" s="12" t="s">
        <v>216</v>
      </c>
    </row>
    <row r="38" spans="1:5" ht="15" customHeight="1" x14ac:dyDescent="0.3">
      <c r="A38" s="53" t="s">
        <v>217</v>
      </c>
      <c r="B38" s="41">
        <f>D8</f>
        <v>12600000</v>
      </c>
      <c r="C38" s="51">
        <f>B38/B49</f>
        <v>0.94626920367765321</v>
      </c>
      <c r="D38" s="51">
        <f>C38</f>
        <v>0.94626920367765321</v>
      </c>
      <c r="E38" s="54" t="s">
        <v>218</v>
      </c>
    </row>
    <row r="39" spans="1:5" ht="15" customHeight="1" x14ac:dyDescent="0.3">
      <c r="A39" s="55" t="s">
        <v>67</v>
      </c>
      <c r="B39" s="41">
        <f>D10</f>
        <v>107100.00000000001</v>
      </c>
      <c r="C39" s="51">
        <f>B39/B49</f>
        <v>8.0432882312600536E-3</v>
      </c>
      <c r="D39" s="51">
        <f t="shared" ref="D39:D48" si="0">D38+C39</f>
        <v>0.95431249190891332</v>
      </c>
      <c r="E39" s="56" t="s">
        <v>218</v>
      </c>
    </row>
    <row r="40" spans="1:5" ht="15" customHeight="1" x14ac:dyDescent="0.3">
      <c r="A40" s="53" t="s">
        <v>173</v>
      </c>
      <c r="B40" s="41">
        <f>D11</f>
        <v>133764</v>
      </c>
      <c r="C40" s="51">
        <f>B40/B49</f>
        <v>1.0045774107995047E-2</v>
      </c>
      <c r="D40" s="51">
        <f t="shared" si="0"/>
        <v>0.96435826601690833</v>
      </c>
      <c r="E40" s="54" t="s">
        <v>218</v>
      </c>
    </row>
    <row r="41" spans="1:5" ht="15" customHeight="1" x14ac:dyDescent="0.3">
      <c r="A41" s="55" t="s">
        <v>219</v>
      </c>
      <c r="B41" s="41">
        <f>D12</f>
        <v>16666.666666666668</v>
      </c>
      <c r="C41" s="51">
        <f>B41/B49</f>
        <v>1.2516788408434567E-3</v>
      </c>
      <c r="D41" s="51">
        <f t="shared" si="0"/>
        <v>0.96560994485775176</v>
      </c>
      <c r="E41" s="56" t="s">
        <v>218</v>
      </c>
    </row>
    <row r="42" spans="1:5" ht="15" customHeight="1" x14ac:dyDescent="0.3">
      <c r="A42" s="53" t="s">
        <v>220</v>
      </c>
      <c r="B42" s="41">
        <f>D14</f>
        <v>147924</v>
      </c>
      <c r="C42" s="51">
        <f>B42/B49</f>
        <v>1.1109200451175649E-2</v>
      </c>
      <c r="D42" s="51">
        <f t="shared" si="0"/>
        <v>0.97671914530892745</v>
      </c>
      <c r="E42" s="54" t="s">
        <v>218</v>
      </c>
    </row>
    <row r="43" spans="1:5" ht="15" customHeight="1" x14ac:dyDescent="0.3">
      <c r="A43" s="55" t="s">
        <v>221</v>
      </c>
      <c r="B43" s="41">
        <f>D20</f>
        <v>178452.9</v>
      </c>
      <c r="C43" s="51">
        <f>B43/B49</f>
        <v>1.3401943141029196E-2</v>
      </c>
      <c r="D43" s="51">
        <f t="shared" si="0"/>
        <v>0.99012108844995661</v>
      </c>
      <c r="E43" s="56" t="s">
        <v>222</v>
      </c>
    </row>
    <row r="44" spans="1:5" ht="15" customHeight="1" x14ac:dyDescent="0.3">
      <c r="A44" s="53" t="s">
        <v>223</v>
      </c>
      <c r="B44" s="41">
        <f>D22</f>
        <v>68000</v>
      </c>
      <c r="C44" s="51">
        <f>B44/B49</f>
        <v>5.106849670641303E-3</v>
      </c>
      <c r="D44" s="51">
        <f t="shared" si="0"/>
        <v>0.99522793812059795</v>
      </c>
      <c r="E44" s="54" t="s">
        <v>222</v>
      </c>
    </row>
    <row r="45" spans="1:5" ht="15" customHeight="1" x14ac:dyDescent="0.3">
      <c r="A45" s="55" t="s">
        <v>224</v>
      </c>
      <c r="B45" s="41">
        <f>D23</f>
        <v>10200</v>
      </c>
      <c r="C45" s="51">
        <f>B45/B49</f>
        <v>7.6602745059619552E-4</v>
      </c>
      <c r="D45" s="51">
        <f t="shared" si="0"/>
        <v>0.99599396557119413</v>
      </c>
      <c r="E45" s="56" t="s">
        <v>222</v>
      </c>
    </row>
    <row r="46" spans="1:5" ht="15" customHeight="1" x14ac:dyDescent="0.3">
      <c r="A46" s="53" t="s">
        <v>225</v>
      </c>
      <c r="B46" s="41">
        <f>D24</f>
        <v>10000</v>
      </c>
      <c r="C46" s="51">
        <f>B46/B49</f>
        <v>7.5100730450607394E-4</v>
      </c>
      <c r="D46" s="51">
        <f t="shared" si="0"/>
        <v>0.99674497287570019</v>
      </c>
      <c r="E46" s="54" t="s">
        <v>222</v>
      </c>
    </row>
    <row r="47" spans="1:5" ht="15" customHeight="1" x14ac:dyDescent="0.3">
      <c r="A47" s="55" t="s">
        <v>226</v>
      </c>
      <c r="B47" s="41">
        <f>D26</f>
        <v>29742.15</v>
      </c>
      <c r="C47" s="51">
        <f>B47/B49</f>
        <v>2.233657190171533E-3</v>
      </c>
      <c r="D47" s="51">
        <f t="shared" si="0"/>
        <v>0.99897863006587173</v>
      </c>
      <c r="E47" s="56" t="s">
        <v>222</v>
      </c>
    </row>
    <row r="48" spans="1:5" ht="15" customHeight="1" x14ac:dyDescent="0.3">
      <c r="A48" s="53" t="s">
        <v>227</v>
      </c>
      <c r="B48" s="41">
        <f>D27</f>
        <v>13600</v>
      </c>
      <c r="C48" s="51">
        <f>B48/B49</f>
        <v>1.0213699341282607E-3</v>
      </c>
      <c r="D48" s="51">
        <f t="shared" si="0"/>
        <v>1</v>
      </c>
      <c r="E48" s="54" t="s">
        <v>222</v>
      </c>
    </row>
    <row r="49" spans="1:5" ht="15" customHeight="1" x14ac:dyDescent="0.3">
      <c r="A49" s="57" t="s">
        <v>228</v>
      </c>
      <c r="B49" s="27">
        <f>SUM(B38:B48)</f>
        <v>13315449.716666667</v>
      </c>
      <c r="C49" s="52">
        <f>100%</f>
        <v>1</v>
      </c>
      <c r="D49" s="26"/>
      <c r="E49" s="26"/>
    </row>
  </sheetData>
  <mergeCells count="12">
    <mergeCell ref="A30:E30"/>
    <mergeCell ref="A36:E36"/>
    <mergeCell ref="A13:E13"/>
    <mergeCell ref="A17:E17"/>
    <mergeCell ref="A19:E19"/>
    <mergeCell ref="A21:E21"/>
    <mergeCell ref="A25:E25"/>
    <mergeCell ref="A1:E1"/>
    <mergeCell ref="A2:E2"/>
    <mergeCell ref="A5:E5"/>
    <mergeCell ref="A7:E7"/>
    <mergeCell ref="A9:E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P87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640625" defaultRowHeight="14.4" x14ac:dyDescent="0.3"/>
  <cols>
    <col min="1" max="1" width="30" customWidth="1"/>
    <col min="2" max="9" width="14" customWidth="1"/>
    <col min="10" max="10" width="12" customWidth="1"/>
    <col min="11" max="11" width="14" customWidth="1"/>
    <col min="12" max="12" width="12" customWidth="1"/>
    <col min="13" max="15" width="14" customWidth="1"/>
    <col min="16" max="16" width="18" customWidth="1"/>
  </cols>
  <sheetData>
    <row r="1" spans="1:16" ht="30" customHeight="1" x14ac:dyDescent="0.3">
      <c r="A1" s="5" t="s">
        <v>229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ht="15" customHeight="1" x14ac:dyDescent="0.3">
      <c r="A2" s="4" t="s">
        <v>230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ht="15" customHeight="1" x14ac:dyDescent="0.3">
      <c r="A3" s="6" t="s">
        <v>2</v>
      </c>
      <c r="B3" s="7" t="s">
        <v>3</v>
      </c>
      <c r="C3" s="8" t="s">
        <v>4</v>
      </c>
      <c r="D3" s="9" t="s">
        <v>5</v>
      </c>
      <c r="E3" s="10" t="s">
        <v>6</v>
      </c>
    </row>
    <row r="4" spans="1:16" ht="6.75" customHeight="1" x14ac:dyDescent="0.3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</row>
    <row r="5" spans="1:16" ht="15" customHeight="1" x14ac:dyDescent="0.3">
      <c r="A5" s="3" t="s">
        <v>231</v>
      </c>
      <c r="B5" s="3"/>
      <c r="C5" s="3"/>
      <c r="D5" s="3"/>
      <c r="E5" s="3"/>
      <c r="F5" s="3"/>
    </row>
    <row r="6" spans="1:16" ht="26.25" customHeight="1" x14ac:dyDescent="0.3">
      <c r="A6" s="12" t="s">
        <v>8</v>
      </c>
      <c r="B6" s="12" t="s">
        <v>9</v>
      </c>
      <c r="C6" s="12" t="s">
        <v>10</v>
      </c>
      <c r="D6" s="12" t="s">
        <v>232</v>
      </c>
      <c r="E6" s="12" t="s">
        <v>14</v>
      </c>
      <c r="F6" s="12" t="s">
        <v>14</v>
      </c>
    </row>
    <row r="7" spans="1:16" ht="15" customHeight="1" x14ac:dyDescent="0.3">
      <c r="A7" s="13" t="s">
        <v>233</v>
      </c>
      <c r="B7" s="41">
        <f>CAPEX!C34</f>
        <v>5948430</v>
      </c>
      <c r="C7" s="46" t="s">
        <v>234</v>
      </c>
      <c r="D7" s="16" t="s">
        <v>235</v>
      </c>
      <c r="E7" s="58"/>
      <c r="F7" s="58"/>
    </row>
    <row r="8" spans="1:16" ht="15" customHeight="1" x14ac:dyDescent="0.3">
      <c r="A8" s="13" t="s">
        <v>236</v>
      </c>
      <c r="B8" s="41">
        <f>OPEX!D15</f>
        <v>13005454.666666666</v>
      </c>
      <c r="C8" s="46" t="s">
        <v>86</v>
      </c>
      <c r="D8" s="16" t="s">
        <v>237</v>
      </c>
      <c r="E8" s="58"/>
      <c r="F8" s="58"/>
    </row>
    <row r="9" spans="1:16" ht="15" customHeight="1" x14ac:dyDescent="0.3">
      <c r="A9" s="13" t="s">
        <v>238</v>
      </c>
      <c r="B9" s="41">
        <f>OPEX!D28</f>
        <v>309995.05000000005</v>
      </c>
      <c r="C9" s="46" t="s">
        <v>86</v>
      </c>
      <c r="D9" s="16" t="s">
        <v>239</v>
      </c>
      <c r="E9" s="58"/>
      <c r="F9" s="58"/>
    </row>
    <row r="10" spans="1:16" ht="15" customHeight="1" x14ac:dyDescent="0.3">
      <c r="A10" s="13" t="s">
        <v>240</v>
      </c>
      <c r="B10" s="41">
        <f>OPEX!D34</f>
        <v>13315449.716666667</v>
      </c>
      <c r="C10" s="46" t="s">
        <v>86</v>
      </c>
      <c r="D10" s="16" t="s">
        <v>241</v>
      </c>
      <c r="E10" s="58"/>
      <c r="F10" s="58"/>
    </row>
    <row r="11" spans="1:16" ht="15" customHeight="1" x14ac:dyDescent="0.3">
      <c r="A11" s="13" t="s">
        <v>242</v>
      </c>
      <c r="B11" s="41">
        <f>Assumptions!B13*Assumptions!B32</f>
        <v>15118080</v>
      </c>
      <c r="C11" s="46" t="s">
        <v>86</v>
      </c>
      <c r="D11" s="16" t="s">
        <v>243</v>
      </c>
      <c r="E11" s="58"/>
      <c r="F11" s="58"/>
    </row>
    <row r="12" spans="1:16" ht="15" customHeight="1" x14ac:dyDescent="0.3">
      <c r="A12" s="13" t="s">
        <v>244</v>
      </c>
      <c r="B12" s="41">
        <f>CAPEX!C34/Assumptions!B19</f>
        <v>594843</v>
      </c>
      <c r="C12" s="46" t="s">
        <v>86</v>
      </c>
      <c r="D12" s="16" t="s">
        <v>245</v>
      </c>
      <c r="E12" s="58"/>
      <c r="F12" s="58"/>
    </row>
    <row r="13" spans="1:16" ht="15" customHeight="1" x14ac:dyDescent="0.3">
      <c r="A13" s="13" t="s">
        <v>246</v>
      </c>
      <c r="B13" s="59">
        <f>Assumptions!B24/100</f>
        <v>0.3</v>
      </c>
      <c r="C13" s="46"/>
      <c r="D13" s="16" t="s">
        <v>247</v>
      </c>
      <c r="E13" s="58"/>
      <c r="F13" s="58"/>
    </row>
    <row r="14" spans="1:16" ht="15" customHeight="1" x14ac:dyDescent="0.3">
      <c r="A14" s="13" t="s">
        <v>248</v>
      </c>
      <c r="B14" s="59">
        <f>Assumptions!B23/100</f>
        <v>0.1</v>
      </c>
      <c r="C14" s="46"/>
      <c r="D14" s="16" t="s">
        <v>247</v>
      </c>
      <c r="E14" s="58"/>
      <c r="F14" s="58"/>
    </row>
    <row r="15" spans="1:16" ht="15" customHeight="1" x14ac:dyDescent="0.3">
      <c r="A15" s="13" t="s">
        <v>249</v>
      </c>
      <c r="B15" s="41">
        <f>OPEX!D34*(Assumptions!B25/100)</f>
        <v>1997317.4575</v>
      </c>
      <c r="C15" s="46" t="s">
        <v>234</v>
      </c>
      <c r="D15" s="16" t="s">
        <v>250</v>
      </c>
      <c r="E15" s="58"/>
      <c r="F15" s="58"/>
    </row>
    <row r="16" spans="1:16" ht="15" customHeight="1" x14ac:dyDescent="0.3">
      <c r="A16" s="13" t="s">
        <v>251</v>
      </c>
      <c r="B16" s="59">
        <f>Assumptions!B26/100</f>
        <v>0.7</v>
      </c>
      <c r="C16" s="46"/>
      <c r="D16" s="16" t="s">
        <v>252</v>
      </c>
      <c r="E16" s="58"/>
      <c r="F16" s="58"/>
    </row>
    <row r="17" spans="1:16" ht="15" customHeight="1" x14ac:dyDescent="0.3">
      <c r="A17" s="13" t="s">
        <v>253</v>
      </c>
      <c r="B17" s="59">
        <f>Assumptions!B27/100</f>
        <v>0.85</v>
      </c>
      <c r="C17" s="46"/>
      <c r="D17" s="16" t="s">
        <v>254</v>
      </c>
      <c r="E17" s="58"/>
      <c r="F17" s="58"/>
    </row>
    <row r="18" spans="1:16" ht="6.7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</row>
    <row r="19" spans="1:16" ht="15" customHeight="1" x14ac:dyDescent="0.3">
      <c r="A19" s="3" t="s">
        <v>255</v>
      </c>
      <c r="B19" s="3"/>
      <c r="C19" s="3"/>
      <c r="D19" s="3"/>
      <c r="E19" s="3"/>
      <c r="F19" s="3"/>
    </row>
    <row r="20" spans="1:16" ht="26.25" customHeight="1" x14ac:dyDescent="0.3">
      <c r="A20" s="12" t="s">
        <v>204</v>
      </c>
      <c r="B20" s="12" t="s">
        <v>256</v>
      </c>
      <c r="C20" s="12" t="s">
        <v>84</v>
      </c>
      <c r="D20" s="12" t="s">
        <v>14</v>
      </c>
      <c r="E20" s="12" t="s">
        <v>14</v>
      </c>
      <c r="F20" s="12" t="s">
        <v>14</v>
      </c>
    </row>
    <row r="21" spans="1:16" ht="15" customHeight="1" x14ac:dyDescent="0.3">
      <c r="A21" s="28" t="s">
        <v>257</v>
      </c>
      <c r="B21" s="23">
        <f>B11</f>
        <v>15118080</v>
      </c>
      <c r="C21" s="29" t="s">
        <v>258</v>
      </c>
      <c r="D21" s="30"/>
      <c r="E21" s="30"/>
      <c r="F21" s="30"/>
    </row>
    <row r="22" spans="1:16" ht="15" customHeight="1" x14ac:dyDescent="0.3">
      <c r="A22" s="39" t="s">
        <v>259</v>
      </c>
      <c r="B22" s="41">
        <f>B10</f>
        <v>13315449.716666667</v>
      </c>
      <c r="C22" s="40" t="s">
        <v>260</v>
      </c>
      <c r="D22" s="42"/>
      <c r="E22" s="42"/>
      <c r="F22" s="42"/>
    </row>
    <row r="23" spans="1:16" ht="15" customHeight="1" x14ac:dyDescent="0.3">
      <c r="A23" s="28" t="s">
        <v>261</v>
      </c>
      <c r="B23" s="23">
        <f>B21-B22</f>
        <v>1802630.2833333332</v>
      </c>
      <c r="C23" s="29" t="s">
        <v>262</v>
      </c>
      <c r="D23" s="30"/>
      <c r="E23" s="30"/>
      <c r="F23" s="30"/>
    </row>
    <row r="24" spans="1:16" ht="15" customHeight="1" x14ac:dyDescent="0.3">
      <c r="A24" s="39" t="s">
        <v>263</v>
      </c>
      <c r="B24" s="41">
        <f>B12</f>
        <v>594843</v>
      </c>
      <c r="C24" s="40" t="s">
        <v>264</v>
      </c>
      <c r="D24" s="42"/>
      <c r="E24" s="42"/>
      <c r="F24" s="42"/>
    </row>
    <row r="25" spans="1:16" ht="15" customHeight="1" x14ac:dyDescent="0.3">
      <c r="A25" s="28" t="s">
        <v>265</v>
      </c>
      <c r="B25" s="23">
        <f>B23-B24</f>
        <v>1207787.2833333332</v>
      </c>
      <c r="C25" s="29" t="s">
        <v>266</v>
      </c>
      <c r="D25" s="30"/>
      <c r="E25" s="30"/>
      <c r="F25" s="30"/>
    </row>
    <row r="26" spans="1:16" ht="15" customHeight="1" x14ac:dyDescent="0.3">
      <c r="A26" s="28" t="s">
        <v>267</v>
      </c>
      <c r="B26" s="23">
        <f>IF(B25&gt;0,B13*B25,0)</f>
        <v>362336.18499999994</v>
      </c>
      <c r="C26" s="29" t="s">
        <v>268</v>
      </c>
      <c r="D26" s="30"/>
      <c r="E26" s="30"/>
      <c r="F26" s="30"/>
    </row>
    <row r="27" spans="1:16" ht="15" customHeight="1" x14ac:dyDescent="0.3">
      <c r="A27" s="25" t="s">
        <v>269</v>
      </c>
      <c r="B27" s="27">
        <f>B25-B26</f>
        <v>845451.09833333327</v>
      </c>
      <c r="C27" s="32" t="s">
        <v>270</v>
      </c>
      <c r="D27" s="33"/>
      <c r="E27" s="33"/>
      <c r="F27" s="33"/>
    </row>
    <row r="28" spans="1:16" ht="6.75" customHeight="1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</row>
    <row r="29" spans="1:16" ht="15" customHeight="1" x14ac:dyDescent="0.3">
      <c r="A29" s="3" t="s">
        <v>271</v>
      </c>
      <c r="B29" s="3"/>
      <c r="C29" s="3"/>
      <c r="D29" s="3"/>
      <c r="E29" s="3"/>
      <c r="F29" s="3"/>
    </row>
    <row r="30" spans="1:16" ht="26.25" customHeight="1" x14ac:dyDescent="0.3">
      <c r="A30" s="12" t="s">
        <v>164</v>
      </c>
      <c r="B30" s="12" t="s">
        <v>256</v>
      </c>
      <c r="C30" s="12" t="s">
        <v>272</v>
      </c>
      <c r="D30" s="12" t="s">
        <v>14</v>
      </c>
      <c r="E30" s="12" t="s">
        <v>14</v>
      </c>
      <c r="F30" s="12" t="s">
        <v>14</v>
      </c>
    </row>
    <row r="31" spans="1:16" ht="15" customHeight="1" x14ac:dyDescent="0.3">
      <c r="A31" s="28" t="s">
        <v>273</v>
      </c>
      <c r="B31" s="23">
        <f>B25*(1-B13)</f>
        <v>845451.09833333315</v>
      </c>
      <c r="C31" s="29" t="s">
        <v>274</v>
      </c>
      <c r="D31" s="30"/>
      <c r="E31" s="30"/>
      <c r="F31" s="30"/>
    </row>
    <row r="32" spans="1:16" ht="15" customHeight="1" x14ac:dyDescent="0.3">
      <c r="A32" s="28" t="s">
        <v>275</v>
      </c>
      <c r="B32" s="23">
        <f>B12</f>
        <v>594843</v>
      </c>
      <c r="C32" s="29" t="s">
        <v>276</v>
      </c>
      <c r="D32" s="30"/>
      <c r="E32" s="30"/>
      <c r="F32" s="30"/>
    </row>
    <row r="33" spans="1:16" ht="15" customHeight="1" x14ac:dyDescent="0.3">
      <c r="A33" s="25" t="s">
        <v>277</v>
      </c>
      <c r="B33" s="27">
        <f>B25*(1-B13)+B12</f>
        <v>1440294.0983333332</v>
      </c>
      <c r="C33" s="32" t="s">
        <v>278</v>
      </c>
      <c r="D33" s="33"/>
      <c r="E33" s="33"/>
      <c r="F33" s="33"/>
    </row>
    <row r="34" spans="1:16" ht="6.75" customHeight="1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 spans="1:16" ht="15" customHeight="1" x14ac:dyDescent="0.3">
      <c r="A35" s="3" t="s">
        <v>279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ht="26.25" customHeight="1" x14ac:dyDescent="0.3">
      <c r="A36" s="12" t="s">
        <v>153</v>
      </c>
      <c r="B36" s="12" t="s">
        <v>280</v>
      </c>
      <c r="C36" s="12" t="s">
        <v>281</v>
      </c>
      <c r="D36" s="12" t="s">
        <v>282</v>
      </c>
      <c r="E36" s="12" t="s">
        <v>283</v>
      </c>
      <c r="F36" s="12" t="s">
        <v>284</v>
      </c>
      <c r="G36" s="12" t="s">
        <v>285</v>
      </c>
      <c r="H36" s="12" t="s">
        <v>286</v>
      </c>
      <c r="I36" s="12" t="s">
        <v>287</v>
      </c>
      <c r="J36" s="12" t="s">
        <v>288</v>
      </c>
      <c r="K36" s="12" t="s">
        <v>289</v>
      </c>
      <c r="L36" s="12" t="s">
        <v>290</v>
      </c>
      <c r="M36" s="12" t="s">
        <v>291</v>
      </c>
      <c r="N36" s="12" t="s">
        <v>292</v>
      </c>
      <c r="O36" s="12" t="s">
        <v>293</v>
      </c>
      <c r="P36" s="12" t="s">
        <v>84</v>
      </c>
    </row>
    <row r="37" spans="1:16" ht="15" customHeight="1" x14ac:dyDescent="0.3">
      <c r="A37" s="60">
        <v>0</v>
      </c>
      <c r="B37" s="61">
        <v>0</v>
      </c>
      <c r="C37" s="62">
        <v>0</v>
      </c>
      <c r="D37" s="62">
        <v>0</v>
      </c>
      <c r="E37" s="62">
        <v>0</v>
      </c>
      <c r="F37" s="62">
        <v>0</v>
      </c>
      <c r="G37" s="62">
        <v>0</v>
      </c>
      <c r="H37" s="62">
        <v>0</v>
      </c>
      <c r="I37" s="62">
        <v>0</v>
      </c>
      <c r="J37" s="62">
        <v>0</v>
      </c>
      <c r="K37" s="63">
        <f>-$B$7</f>
        <v>-5948430</v>
      </c>
      <c r="L37" s="64">
        <v>1</v>
      </c>
      <c r="M37" s="62">
        <f t="shared" ref="M37:M57" si="0">K37*L37</f>
        <v>-5948430</v>
      </c>
      <c r="N37" s="62">
        <f>K37</f>
        <v>-5948430</v>
      </c>
      <c r="O37" s="62">
        <f>M37</f>
        <v>-5948430</v>
      </c>
      <c r="P37" s="65" t="s">
        <v>294</v>
      </c>
    </row>
    <row r="38" spans="1:16" ht="15" customHeight="1" x14ac:dyDescent="0.3">
      <c r="A38" s="66">
        <v>1</v>
      </c>
      <c r="B38" s="67">
        <f>B16</f>
        <v>0.7</v>
      </c>
      <c r="C38" s="68">
        <f t="shared" ref="C38:C57" si="1">B38*$B$11</f>
        <v>10582656</v>
      </c>
      <c r="D38" s="68">
        <f t="shared" ref="D38:D57" si="2">B38*$B$8</f>
        <v>9103818.2666666657</v>
      </c>
      <c r="E38" s="68">
        <f t="shared" ref="E38:E57" si="3">$B$9</f>
        <v>309995.05000000005</v>
      </c>
      <c r="F38" s="68">
        <f t="shared" ref="F38:F57" si="4">D38+E38</f>
        <v>9413813.3166666664</v>
      </c>
      <c r="G38" s="68">
        <f t="shared" ref="G38:G57" si="5">C38-F38</f>
        <v>1168842.6833333336</v>
      </c>
      <c r="H38" s="68">
        <f>IF(A38&gt;0,IF(A38&lt;=Assumptions!$B$19,$B$12,0),0)</f>
        <v>594843</v>
      </c>
      <c r="I38" s="68">
        <f t="shared" ref="I38:I57" si="6">G38-H38</f>
        <v>573999.68333333358</v>
      </c>
      <c r="J38" s="68">
        <f t="shared" ref="J38:J57" si="7">IF(I38&gt;0,$B$13*I38,0)</f>
        <v>172199.90500000006</v>
      </c>
      <c r="K38" s="68">
        <f t="shared" ref="K38:K56" si="8">I38*(1-$B$13)+H38</f>
        <v>996642.77833333355</v>
      </c>
      <c r="L38" s="69">
        <f t="shared" ref="L38:L57" si="9">1/(1+$B$14)^A38</f>
        <v>0.90909090909090906</v>
      </c>
      <c r="M38" s="68">
        <f t="shared" si="0"/>
        <v>906038.88939393952</v>
      </c>
      <c r="N38" s="62">
        <f t="shared" ref="N38:N57" si="10">N37+K38</f>
        <v>-4951787.2216666667</v>
      </c>
      <c r="O38" s="62">
        <f t="shared" ref="O38:O57" si="11">O37+M38</f>
        <v>-5042391.1106060604</v>
      </c>
      <c r="P38" s="70" t="s">
        <v>295</v>
      </c>
    </row>
    <row r="39" spans="1:16" ht="15" customHeight="1" x14ac:dyDescent="0.3">
      <c r="A39" s="71">
        <v>2</v>
      </c>
      <c r="B39" s="67">
        <f>B17</f>
        <v>0.85</v>
      </c>
      <c r="C39" s="72">
        <f t="shared" si="1"/>
        <v>12850368</v>
      </c>
      <c r="D39" s="72">
        <f t="shared" si="2"/>
        <v>11054636.466666665</v>
      </c>
      <c r="E39" s="72">
        <f t="shared" si="3"/>
        <v>309995.05000000005</v>
      </c>
      <c r="F39" s="72">
        <f t="shared" si="4"/>
        <v>11364631.516666666</v>
      </c>
      <c r="G39" s="72">
        <f t="shared" si="5"/>
        <v>1485736.4833333343</v>
      </c>
      <c r="H39" s="72">
        <f>IF(A39&gt;0,IF(A39&lt;=Assumptions!$B$19,$B$12,0),0)</f>
        <v>594843</v>
      </c>
      <c r="I39" s="72">
        <f t="shared" si="6"/>
        <v>890893.48333333433</v>
      </c>
      <c r="J39" s="72">
        <f t="shared" si="7"/>
        <v>267268.04500000027</v>
      </c>
      <c r="K39" s="72">
        <f t="shared" si="8"/>
        <v>1218468.4383333339</v>
      </c>
      <c r="L39" s="73">
        <f t="shared" si="9"/>
        <v>0.82644628099173545</v>
      </c>
      <c r="M39" s="72">
        <f t="shared" si="0"/>
        <v>1006998.7093663915</v>
      </c>
      <c r="N39" s="62">
        <f t="shared" si="10"/>
        <v>-3733318.7833333327</v>
      </c>
      <c r="O39" s="62">
        <f t="shared" si="11"/>
        <v>-4035392.401239669</v>
      </c>
      <c r="P39" s="74" t="s">
        <v>296</v>
      </c>
    </row>
    <row r="40" spans="1:16" ht="15" customHeight="1" x14ac:dyDescent="0.3">
      <c r="A40" s="66">
        <v>3</v>
      </c>
      <c r="B40" s="75">
        <v>1</v>
      </c>
      <c r="C40" s="68">
        <f t="shared" si="1"/>
        <v>15118080</v>
      </c>
      <c r="D40" s="68">
        <f t="shared" si="2"/>
        <v>13005454.666666666</v>
      </c>
      <c r="E40" s="68">
        <f t="shared" si="3"/>
        <v>309995.05000000005</v>
      </c>
      <c r="F40" s="68">
        <f t="shared" si="4"/>
        <v>13315449.716666667</v>
      </c>
      <c r="G40" s="68">
        <f t="shared" si="5"/>
        <v>1802630.2833333332</v>
      </c>
      <c r="H40" s="68">
        <f>IF(A40&gt;0,IF(A40&lt;=Assumptions!$B$19,$B$12,0),0)</f>
        <v>594843</v>
      </c>
      <c r="I40" s="68">
        <f t="shared" si="6"/>
        <v>1207787.2833333332</v>
      </c>
      <c r="J40" s="68">
        <f t="shared" si="7"/>
        <v>362336.18499999994</v>
      </c>
      <c r="K40" s="68">
        <f t="shared" si="8"/>
        <v>1440294.0983333332</v>
      </c>
      <c r="L40" s="69">
        <f t="shared" si="9"/>
        <v>0.75131480090157754</v>
      </c>
      <c r="M40" s="68">
        <f t="shared" si="0"/>
        <v>1082114.2737290254</v>
      </c>
      <c r="N40" s="62">
        <f t="shared" si="10"/>
        <v>-2293024.6849999996</v>
      </c>
      <c r="O40" s="62">
        <f t="shared" si="11"/>
        <v>-2953278.1275106436</v>
      </c>
      <c r="P40" s="70" t="s">
        <v>297</v>
      </c>
    </row>
    <row r="41" spans="1:16" ht="15" customHeight="1" x14ac:dyDescent="0.3">
      <c r="A41" s="71">
        <v>4</v>
      </c>
      <c r="B41" s="76">
        <v>1</v>
      </c>
      <c r="C41" s="72">
        <f t="shared" si="1"/>
        <v>15118080</v>
      </c>
      <c r="D41" s="72">
        <f t="shared" si="2"/>
        <v>13005454.666666666</v>
      </c>
      <c r="E41" s="72">
        <f t="shared" si="3"/>
        <v>309995.05000000005</v>
      </c>
      <c r="F41" s="72">
        <f t="shared" si="4"/>
        <v>13315449.716666667</v>
      </c>
      <c r="G41" s="72">
        <f t="shared" si="5"/>
        <v>1802630.2833333332</v>
      </c>
      <c r="H41" s="72">
        <f>IF(A41&gt;0,IF(A41&lt;=Assumptions!$B$19,$B$12,0),0)</f>
        <v>594843</v>
      </c>
      <c r="I41" s="72">
        <f t="shared" si="6"/>
        <v>1207787.2833333332</v>
      </c>
      <c r="J41" s="72">
        <f t="shared" si="7"/>
        <v>362336.18499999994</v>
      </c>
      <c r="K41" s="72">
        <f t="shared" si="8"/>
        <v>1440294.0983333332</v>
      </c>
      <c r="L41" s="73">
        <f t="shared" si="9"/>
        <v>0.68301345536507052</v>
      </c>
      <c r="M41" s="72">
        <f t="shared" si="0"/>
        <v>983740.2488445685</v>
      </c>
      <c r="N41" s="62">
        <f t="shared" si="10"/>
        <v>-852730.58666666644</v>
      </c>
      <c r="O41" s="62">
        <f t="shared" si="11"/>
        <v>-1969537.8786660749</v>
      </c>
      <c r="P41" s="74"/>
    </row>
    <row r="42" spans="1:16" ht="15" customHeight="1" x14ac:dyDescent="0.3">
      <c r="A42" s="66">
        <v>5</v>
      </c>
      <c r="B42" s="75">
        <v>1</v>
      </c>
      <c r="C42" s="68">
        <f t="shared" si="1"/>
        <v>15118080</v>
      </c>
      <c r="D42" s="68">
        <f t="shared" si="2"/>
        <v>13005454.666666666</v>
      </c>
      <c r="E42" s="68">
        <f t="shared" si="3"/>
        <v>309995.05000000005</v>
      </c>
      <c r="F42" s="68">
        <f t="shared" si="4"/>
        <v>13315449.716666667</v>
      </c>
      <c r="G42" s="68">
        <f t="shared" si="5"/>
        <v>1802630.2833333332</v>
      </c>
      <c r="H42" s="68">
        <f>IF(A42&gt;0,IF(A42&lt;=Assumptions!$B$19,$B$12,0),0)</f>
        <v>594843</v>
      </c>
      <c r="I42" s="68">
        <f t="shared" si="6"/>
        <v>1207787.2833333332</v>
      </c>
      <c r="J42" s="68">
        <f t="shared" si="7"/>
        <v>362336.18499999994</v>
      </c>
      <c r="K42" s="68">
        <f t="shared" si="8"/>
        <v>1440294.0983333332</v>
      </c>
      <c r="L42" s="69">
        <f t="shared" si="9"/>
        <v>0.62092132305915493</v>
      </c>
      <c r="M42" s="68">
        <f t="shared" si="0"/>
        <v>894309.31713142584</v>
      </c>
      <c r="N42" s="77">
        <f t="shared" si="10"/>
        <v>587563.51166666672</v>
      </c>
      <c r="O42" s="62">
        <f t="shared" si="11"/>
        <v>-1075228.5615346492</v>
      </c>
      <c r="P42" s="70"/>
    </row>
    <row r="43" spans="1:16" ht="15" customHeight="1" x14ac:dyDescent="0.3">
      <c r="A43" s="71">
        <v>6</v>
      </c>
      <c r="B43" s="76">
        <v>1</v>
      </c>
      <c r="C43" s="72">
        <f t="shared" si="1"/>
        <v>15118080</v>
      </c>
      <c r="D43" s="72">
        <f t="shared" si="2"/>
        <v>13005454.666666666</v>
      </c>
      <c r="E43" s="72">
        <f t="shared" si="3"/>
        <v>309995.05000000005</v>
      </c>
      <c r="F43" s="72">
        <f t="shared" si="4"/>
        <v>13315449.716666667</v>
      </c>
      <c r="G43" s="72">
        <f t="shared" si="5"/>
        <v>1802630.2833333332</v>
      </c>
      <c r="H43" s="72">
        <f>IF(A43&gt;0,IF(A43&lt;=Assumptions!$B$19,$B$12,0),0)</f>
        <v>594843</v>
      </c>
      <c r="I43" s="72">
        <f t="shared" si="6"/>
        <v>1207787.2833333332</v>
      </c>
      <c r="J43" s="72">
        <f t="shared" si="7"/>
        <v>362336.18499999994</v>
      </c>
      <c r="K43" s="72">
        <f t="shared" si="8"/>
        <v>1440294.0983333332</v>
      </c>
      <c r="L43" s="73">
        <f t="shared" si="9"/>
        <v>0.56447393005377722</v>
      </c>
      <c r="M43" s="72">
        <f t="shared" si="0"/>
        <v>813008.47011947806</v>
      </c>
      <c r="N43" s="77">
        <f t="shared" si="10"/>
        <v>2027857.6099999999</v>
      </c>
      <c r="O43" s="62">
        <f t="shared" si="11"/>
        <v>-262220.09141517116</v>
      </c>
      <c r="P43" s="74"/>
    </row>
    <row r="44" spans="1:16" ht="15" customHeight="1" x14ac:dyDescent="0.3">
      <c r="A44" s="66">
        <v>7</v>
      </c>
      <c r="B44" s="75">
        <v>1</v>
      </c>
      <c r="C44" s="68">
        <f t="shared" si="1"/>
        <v>15118080</v>
      </c>
      <c r="D44" s="68">
        <f t="shared" si="2"/>
        <v>13005454.666666666</v>
      </c>
      <c r="E44" s="68">
        <f t="shared" si="3"/>
        <v>309995.05000000005</v>
      </c>
      <c r="F44" s="68">
        <f t="shared" si="4"/>
        <v>13315449.716666667</v>
      </c>
      <c r="G44" s="68">
        <f t="shared" si="5"/>
        <v>1802630.2833333332</v>
      </c>
      <c r="H44" s="68">
        <f>IF(A44&gt;0,IF(A44&lt;=Assumptions!$B$19,$B$12,0),0)</f>
        <v>594843</v>
      </c>
      <c r="I44" s="68">
        <f t="shared" si="6"/>
        <v>1207787.2833333332</v>
      </c>
      <c r="J44" s="68">
        <f t="shared" si="7"/>
        <v>362336.18499999994</v>
      </c>
      <c r="K44" s="68">
        <f t="shared" si="8"/>
        <v>1440294.0983333332</v>
      </c>
      <c r="L44" s="69">
        <f t="shared" si="9"/>
        <v>0.51315811823070645</v>
      </c>
      <c r="M44" s="68">
        <f t="shared" si="0"/>
        <v>739098.60919952532</v>
      </c>
      <c r="N44" s="77">
        <f t="shared" si="10"/>
        <v>3468151.708333333</v>
      </c>
      <c r="O44" s="77">
        <f t="shared" si="11"/>
        <v>476878.51778435416</v>
      </c>
      <c r="P44" s="70"/>
    </row>
    <row r="45" spans="1:16" ht="15" customHeight="1" x14ac:dyDescent="0.3">
      <c r="A45" s="71">
        <v>8</v>
      </c>
      <c r="B45" s="76">
        <v>1</v>
      </c>
      <c r="C45" s="72">
        <f t="shared" si="1"/>
        <v>15118080</v>
      </c>
      <c r="D45" s="72">
        <f t="shared" si="2"/>
        <v>13005454.666666666</v>
      </c>
      <c r="E45" s="72">
        <f t="shared" si="3"/>
        <v>309995.05000000005</v>
      </c>
      <c r="F45" s="72">
        <f t="shared" si="4"/>
        <v>13315449.716666667</v>
      </c>
      <c r="G45" s="72">
        <f t="shared" si="5"/>
        <v>1802630.2833333332</v>
      </c>
      <c r="H45" s="72">
        <f>IF(A45&gt;0,IF(A45&lt;=Assumptions!$B$19,$B$12,0),0)</f>
        <v>594843</v>
      </c>
      <c r="I45" s="72">
        <f t="shared" si="6"/>
        <v>1207787.2833333332</v>
      </c>
      <c r="J45" s="72">
        <f t="shared" si="7"/>
        <v>362336.18499999994</v>
      </c>
      <c r="K45" s="72">
        <f t="shared" si="8"/>
        <v>1440294.0983333332</v>
      </c>
      <c r="L45" s="73">
        <f t="shared" si="9"/>
        <v>0.46650738020973315</v>
      </c>
      <c r="M45" s="72">
        <f t="shared" si="0"/>
        <v>671907.82654502301</v>
      </c>
      <c r="N45" s="77">
        <f t="shared" si="10"/>
        <v>4908445.8066666666</v>
      </c>
      <c r="O45" s="77">
        <f t="shared" si="11"/>
        <v>1148786.3443293772</v>
      </c>
      <c r="P45" s="74"/>
    </row>
    <row r="46" spans="1:16" ht="15" customHeight="1" x14ac:dyDescent="0.3">
      <c r="A46" s="66">
        <v>9</v>
      </c>
      <c r="B46" s="75">
        <v>1</v>
      </c>
      <c r="C46" s="68">
        <f t="shared" si="1"/>
        <v>15118080</v>
      </c>
      <c r="D46" s="68">
        <f t="shared" si="2"/>
        <v>13005454.666666666</v>
      </c>
      <c r="E46" s="68">
        <f t="shared" si="3"/>
        <v>309995.05000000005</v>
      </c>
      <c r="F46" s="68">
        <f t="shared" si="4"/>
        <v>13315449.716666667</v>
      </c>
      <c r="G46" s="68">
        <f t="shared" si="5"/>
        <v>1802630.2833333332</v>
      </c>
      <c r="H46" s="68">
        <f>IF(A46&gt;0,IF(A46&lt;=Assumptions!$B$19,$B$12,0),0)</f>
        <v>594843</v>
      </c>
      <c r="I46" s="68">
        <f t="shared" si="6"/>
        <v>1207787.2833333332</v>
      </c>
      <c r="J46" s="68">
        <f t="shared" si="7"/>
        <v>362336.18499999994</v>
      </c>
      <c r="K46" s="68">
        <f t="shared" si="8"/>
        <v>1440294.0983333332</v>
      </c>
      <c r="L46" s="69">
        <f t="shared" si="9"/>
        <v>0.42409761837248466</v>
      </c>
      <c r="M46" s="68">
        <f t="shared" si="0"/>
        <v>610825.29685911187</v>
      </c>
      <c r="N46" s="77">
        <f t="shared" si="10"/>
        <v>6348739.9049999993</v>
      </c>
      <c r="O46" s="77">
        <f t="shared" si="11"/>
        <v>1759611.641188489</v>
      </c>
      <c r="P46" s="70"/>
    </row>
    <row r="47" spans="1:16" ht="15" customHeight="1" x14ac:dyDescent="0.3">
      <c r="A47" s="71">
        <v>10</v>
      </c>
      <c r="B47" s="76">
        <v>1</v>
      </c>
      <c r="C47" s="72">
        <f t="shared" si="1"/>
        <v>15118080</v>
      </c>
      <c r="D47" s="72">
        <f t="shared" si="2"/>
        <v>13005454.666666666</v>
      </c>
      <c r="E47" s="72">
        <f t="shared" si="3"/>
        <v>309995.05000000005</v>
      </c>
      <c r="F47" s="72">
        <f t="shared" si="4"/>
        <v>13315449.716666667</v>
      </c>
      <c r="G47" s="72">
        <f t="shared" si="5"/>
        <v>1802630.2833333332</v>
      </c>
      <c r="H47" s="72">
        <f>IF(A47&gt;0,IF(A47&lt;=Assumptions!$B$19,$B$12,0),0)</f>
        <v>594843</v>
      </c>
      <c r="I47" s="72">
        <f t="shared" si="6"/>
        <v>1207787.2833333332</v>
      </c>
      <c r="J47" s="72">
        <f t="shared" si="7"/>
        <v>362336.18499999994</v>
      </c>
      <c r="K47" s="72">
        <f t="shared" si="8"/>
        <v>1440294.0983333332</v>
      </c>
      <c r="L47" s="73">
        <f t="shared" si="9"/>
        <v>0.38554328942953148</v>
      </c>
      <c r="M47" s="72">
        <f t="shared" si="0"/>
        <v>555295.72441737435</v>
      </c>
      <c r="N47" s="77">
        <f t="shared" si="10"/>
        <v>7789034.003333332</v>
      </c>
      <c r="O47" s="77">
        <f t="shared" si="11"/>
        <v>2314907.3656058633</v>
      </c>
      <c r="P47" s="74" t="s">
        <v>298</v>
      </c>
    </row>
    <row r="48" spans="1:16" ht="15" customHeight="1" x14ac:dyDescent="0.3">
      <c r="A48" s="66">
        <v>11</v>
      </c>
      <c r="B48" s="75">
        <v>1</v>
      </c>
      <c r="C48" s="68">
        <f t="shared" si="1"/>
        <v>15118080</v>
      </c>
      <c r="D48" s="68">
        <f t="shared" si="2"/>
        <v>13005454.666666666</v>
      </c>
      <c r="E48" s="68">
        <f t="shared" si="3"/>
        <v>309995.05000000005</v>
      </c>
      <c r="F48" s="68">
        <f t="shared" si="4"/>
        <v>13315449.716666667</v>
      </c>
      <c r="G48" s="68">
        <f t="shared" si="5"/>
        <v>1802630.2833333332</v>
      </c>
      <c r="H48" s="68">
        <f>IF(A48&gt;0,IF(A48&lt;=Assumptions!$B$19,$B$12,0),0)</f>
        <v>0</v>
      </c>
      <c r="I48" s="68">
        <f t="shared" si="6"/>
        <v>1802630.2833333332</v>
      </c>
      <c r="J48" s="68">
        <f t="shared" si="7"/>
        <v>540789.08499999996</v>
      </c>
      <c r="K48" s="68">
        <f t="shared" si="8"/>
        <v>1261841.1983333332</v>
      </c>
      <c r="L48" s="69">
        <f t="shared" si="9"/>
        <v>0.3504938994813922</v>
      </c>
      <c r="M48" s="68">
        <f t="shared" si="0"/>
        <v>442267.64213012281</v>
      </c>
      <c r="N48" s="77">
        <f t="shared" si="10"/>
        <v>9050875.2016666643</v>
      </c>
      <c r="O48" s="77">
        <f t="shared" si="11"/>
        <v>2757175.0077359863</v>
      </c>
      <c r="P48" s="70"/>
    </row>
    <row r="49" spans="1:16" ht="15" customHeight="1" x14ac:dyDescent="0.3">
      <c r="A49" s="71">
        <v>12</v>
      </c>
      <c r="B49" s="76">
        <v>1</v>
      </c>
      <c r="C49" s="72">
        <f t="shared" si="1"/>
        <v>15118080</v>
      </c>
      <c r="D49" s="72">
        <f t="shared" si="2"/>
        <v>13005454.666666666</v>
      </c>
      <c r="E49" s="72">
        <f t="shared" si="3"/>
        <v>309995.05000000005</v>
      </c>
      <c r="F49" s="72">
        <f t="shared" si="4"/>
        <v>13315449.716666667</v>
      </c>
      <c r="G49" s="72">
        <f t="shared" si="5"/>
        <v>1802630.2833333332</v>
      </c>
      <c r="H49" s="72">
        <f>IF(A49&gt;0,IF(A49&lt;=Assumptions!$B$19,$B$12,0),0)</f>
        <v>0</v>
      </c>
      <c r="I49" s="72">
        <f t="shared" si="6"/>
        <v>1802630.2833333332</v>
      </c>
      <c r="J49" s="72">
        <f t="shared" si="7"/>
        <v>540789.08499999996</v>
      </c>
      <c r="K49" s="72">
        <f t="shared" si="8"/>
        <v>1261841.1983333332</v>
      </c>
      <c r="L49" s="73">
        <f t="shared" si="9"/>
        <v>0.31863081771035656</v>
      </c>
      <c r="M49" s="72">
        <f t="shared" si="0"/>
        <v>402061.49284556619</v>
      </c>
      <c r="N49" s="77">
        <f t="shared" si="10"/>
        <v>10312716.399999999</v>
      </c>
      <c r="O49" s="77">
        <f t="shared" si="11"/>
        <v>3159236.5005815523</v>
      </c>
      <c r="P49" s="74"/>
    </row>
    <row r="50" spans="1:16" ht="15" customHeight="1" x14ac:dyDescent="0.3">
      <c r="A50" s="66">
        <v>13</v>
      </c>
      <c r="B50" s="75">
        <v>1</v>
      </c>
      <c r="C50" s="68">
        <f t="shared" si="1"/>
        <v>15118080</v>
      </c>
      <c r="D50" s="68">
        <f t="shared" si="2"/>
        <v>13005454.666666666</v>
      </c>
      <c r="E50" s="68">
        <f t="shared" si="3"/>
        <v>309995.05000000005</v>
      </c>
      <c r="F50" s="68">
        <f t="shared" si="4"/>
        <v>13315449.716666667</v>
      </c>
      <c r="G50" s="68">
        <f t="shared" si="5"/>
        <v>1802630.2833333332</v>
      </c>
      <c r="H50" s="68">
        <f>IF(A50&gt;0,IF(A50&lt;=Assumptions!$B$19,$B$12,0),0)</f>
        <v>0</v>
      </c>
      <c r="I50" s="68">
        <f t="shared" si="6"/>
        <v>1802630.2833333332</v>
      </c>
      <c r="J50" s="68">
        <f t="shared" si="7"/>
        <v>540789.08499999996</v>
      </c>
      <c r="K50" s="68">
        <f t="shared" si="8"/>
        <v>1261841.1983333332</v>
      </c>
      <c r="L50" s="69">
        <f t="shared" si="9"/>
        <v>0.28966437973668779</v>
      </c>
      <c r="M50" s="68">
        <f t="shared" si="0"/>
        <v>365510.44804142381</v>
      </c>
      <c r="N50" s="77">
        <f t="shared" si="10"/>
        <v>11574557.598333333</v>
      </c>
      <c r="O50" s="77">
        <f t="shared" si="11"/>
        <v>3524746.948622976</v>
      </c>
      <c r="P50" s="70"/>
    </row>
    <row r="51" spans="1:16" ht="15" customHeight="1" x14ac:dyDescent="0.3">
      <c r="A51" s="71">
        <v>14</v>
      </c>
      <c r="B51" s="76">
        <v>1</v>
      </c>
      <c r="C51" s="72">
        <f t="shared" si="1"/>
        <v>15118080</v>
      </c>
      <c r="D51" s="72">
        <f t="shared" si="2"/>
        <v>13005454.666666666</v>
      </c>
      <c r="E51" s="72">
        <f t="shared" si="3"/>
        <v>309995.05000000005</v>
      </c>
      <c r="F51" s="72">
        <f t="shared" si="4"/>
        <v>13315449.716666667</v>
      </c>
      <c r="G51" s="72">
        <f t="shared" si="5"/>
        <v>1802630.2833333332</v>
      </c>
      <c r="H51" s="72">
        <f>IF(A51&gt;0,IF(A51&lt;=Assumptions!$B$19,$B$12,0),0)</f>
        <v>0</v>
      </c>
      <c r="I51" s="72">
        <f t="shared" si="6"/>
        <v>1802630.2833333332</v>
      </c>
      <c r="J51" s="72">
        <f t="shared" si="7"/>
        <v>540789.08499999996</v>
      </c>
      <c r="K51" s="72">
        <f t="shared" si="8"/>
        <v>1261841.1983333332</v>
      </c>
      <c r="L51" s="73">
        <f t="shared" si="9"/>
        <v>0.26333125430607973</v>
      </c>
      <c r="M51" s="72">
        <f t="shared" si="0"/>
        <v>332282.22549220338</v>
      </c>
      <c r="N51" s="77">
        <f t="shared" si="10"/>
        <v>12836398.796666667</v>
      </c>
      <c r="O51" s="77">
        <f t="shared" si="11"/>
        <v>3857029.1741151791</v>
      </c>
      <c r="P51" s="74"/>
    </row>
    <row r="52" spans="1:16" ht="15" customHeight="1" x14ac:dyDescent="0.3">
      <c r="A52" s="66">
        <v>15</v>
      </c>
      <c r="B52" s="75">
        <v>1</v>
      </c>
      <c r="C52" s="68">
        <f t="shared" si="1"/>
        <v>15118080</v>
      </c>
      <c r="D52" s="68">
        <f t="shared" si="2"/>
        <v>13005454.666666666</v>
      </c>
      <c r="E52" s="68">
        <f t="shared" si="3"/>
        <v>309995.05000000005</v>
      </c>
      <c r="F52" s="68">
        <f t="shared" si="4"/>
        <v>13315449.716666667</v>
      </c>
      <c r="G52" s="68">
        <f t="shared" si="5"/>
        <v>1802630.2833333332</v>
      </c>
      <c r="H52" s="68">
        <f>IF(A52&gt;0,IF(A52&lt;=Assumptions!$B$19,$B$12,0),0)</f>
        <v>0</v>
      </c>
      <c r="I52" s="68">
        <f t="shared" si="6"/>
        <v>1802630.2833333332</v>
      </c>
      <c r="J52" s="68">
        <f t="shared" si="7"/>
        <v>540789.08499999996</v>
      </c>
      <c r="K52" s="68">
        <f t="shared" si="8"/>
        <v>1261841.1983333332</v>
      </c>
      <c r="L52" s="69">
        <f t="shared" si="9"/>
        <v>0.23939204936916339</v>
      </c>
      <c r="M52" s="68">
        <f t="shared" si="0"/>
        <v>302074.7504474576</v>
      </c>
      <c r="N52" s="77">
        <f t="shared" si="10"/>
        <v>14098239.995000001</v>
      </c>
      <c r="O52" s="77">
        <f t="shared" si="11"/>
        <v>4159103.9245626368</v>
      </c>
      <c r="P52" s="70"/>
    </row>
    <row r="53" spans="1:16" ht="15" customHeight="1" x14ac:dyDescent="0.3">
      <c r="A53" s="71">
        <v>16</v>
      </c>
      <c r="B53" s="76">
        <v>1</v>
      </c>
      <c r="C53" s="72">
        <f t="shared" si="1"/>
        <v>15118080</v>
      </c>
      <c r="D53" s="72">
        <f t="shared" si="2"/>
        <v>13005454.666666666</v>
      </c>
      <c r="E53" s="72">
        <f t="shared" si="3"/>
        <v>309995.05000000005</v>
      </c>
      <c r="F53" s="72">
        <f t="shared" si="4"/>
        <v>13315449.716666667</v>
      </c>
      <c r="G53" s="72">
        <f t="shared" si="5"/>
        <v>1802630.2833333332</v>
      </c>
      <c r="H53" s="72">
        <f>IF(A53&gt;0,IF(A53&lt;=Assumptions!$B$19,$B$12,0),0)</f>
        <v>0</v>
      </c>
      <c r="I53" s="72">
        <f t="shared" si="6"/>
        <v>1802630.2833333332</v>
      </c>
      <c r="J53" s="72">
        <f t="shared" si="7"/>
        <v>540789.08499999996</v>
      </c>
      <c r="K53" s="72">
        <f t="shared" si="8"/>
        <v>1261841.1983333332</v>
      </c>
      <c r="L53" s="73">
        <f t="shared" si="9"/>
        <v>0.21762913579014853</v>
      </c>
      <c r="M53" s="72">
        <f t="shared" si="0"/>
        <v>274613.4094976887</v>
      </c>
      <c r="N53" s="77">
        <f t="shared" si="10"/>
        <v>15360081.193333335</v>
      </c>
      <c r="O53" s="77">
        <f t="shared" si="11"/>
        <v>4433717.3340603253</v>
      </c>
      <c r="P53" s="74"/>
    </row>
    <row r="54" spans="1:16" ht="15" customHeight="1" x14ac:dyDescent="0.3">
      <c r="A54" s="66">
        <v>17</v>
      </c>
      <c r="B54" s="75">
        <v>1</v>
      </c>
      <c r="C54" s="68">
        <f t="shared" si="1"/>
        <v>15118080</v>
      </c>
      <c r="D54" s="68">
        <f t="shared" si="2"/>
        <v>13005454.666666666</v>
      </c>
      <c r="E54" s="68">
        <f t="shared" si="3"/>
        <v>309995.05000000005</v>
      </c>
      <c r="F54" s="68">
        <f t="shared" si="4"/>
        <v>13315449.716666667</v>
      </c>
      <c r="G54" s="68">
        <f t="shared" si="5"/>
        <v>1802630.2833333332</v>
      </c>
      <c r="H54" s="68">
        <f>IF(A54&gt;0,IF(A54&lt;=Assumptions!$B$19,$B$12,0),0)</f>
        <v>0</v>
      </c>
      <c r="I54" s="68">
        <f t="shared" si="6"/>
        <v>1802630.2833333332</v>
      </c>
      <c r="J54" s="68">
        <f t="shared" si="7"/>
        <v>540789.08499999996</v>
      </c>
      <c r="K54" s="68">
        <f t="shared" si="8"/>
        <v>1261841.1983333332</v>
      </c>
      <c r="L54" s="69">
        <f t="shared" si="9"/>
        <v>0.19784466890013502</v>
      </c>
      <c r="M54" s="68">
        <f t="shared" si="0"/>
        <v>249648.55408880793</v>
      </c>
      <c r="N54" s="77">
        <f t="shared" si="10"/>
        <v>16621922.391666669</v>
      </c>
      <c r="O54" s="77">
        <f t="shared" si="11"/>
        <v>4683365.888149133</v>
      </c>
      <c r="P54" s="70"/>
    </row>
    <row r="55" spans="1:16" ht="15" customHeight="1" x14ac:dyDescent="0.3">
      <c r="A55" s="71">
        <v>18</v>
      </c>
      <c r="B55" s="76">
        <v>1</v>
      </c>
      <c r="C55" s="72">
        <f t="shared" si="1"/>
        <v>15118080</v>
      </c>
      <c r="D55" s="72">
        <f t="shared" si="2"/>
        <v>13005454.666666666</v>
      </c>
      <c r="E55" s="72">
        <f t="shared" si="3"/>
        <v>309995.05000000005</v>
      </c>
      <c r="F55" s="72">
        <f t="shared" si="4"/>
        <v>13315449.716666667</v>
      </c>
      <c r="G55" s="72">
        <f t="shared" si="5"/>
        <v>1802630.2833333332</v>
      </c>
      <c r="H55" s="72">
        <f>IF(A55&gt;0,IF(A55&lt;=Assumptions!$B$19,$B$12,0),0)</f>
        <v>0</v>
      </c>
      <c r="I55" s="72">
        <f t="shared" si="6"/>
        <v>1802630.2833333332</v>
      </c>
      <c r="J55" s="72">
        <f t="shared" si="7"/>
        <v>540789.08499999996</v>
      </c>
      <c r="K55" s="72">
        <f t="shared" si="8"/>
        <v>1261841.1983333332</v>
      </c>
      <c r="L55" s="73">
        <f t="shared" si="9"/>
        <v>0.17985878990921364</v>
      </c>
      <c r="M55" s="72">
        <f t="shared" si="0"/>
        <v>226953.23098982536</v>
      </c>
      <c r="N55" s="77">
        <f t="shared" si="10"/>
        <v>17883763.590000004</v>
      </c>
      <c r="O55" s="77">
        <f t="shared" si="11"/>
        <v>4910319.1191389579</v>
      </c>
      <c r="P55" s="74"/>
    </row>
    <row r="56" spans="1:16" ht="15" customHeight="1" x14ac:dyDescent="0.3">
      <c r="A56" s="66">
        <v>19</v>
      </c>
      <c r="B56" s="75">
        <v>1</v>
      </c>
      <c r="C56" s="68">
        <f t="shared" si="1"/>
        <v>15118080</v>
      </c>
      <c r="D56" s="68">
        <f t="shared" si="2"/>
        <v>13005454.666666666</v>
      </c>
      <c r="E56" s="68">
        <f t="shared" si="3"/>
        <v>309995.05000000005</v>
      </c>
      <c r="F56" s="68">
        <f t="shared" si="4"/>
        <v>13315449.716666667</v>
      </c>
      <c r="G56" s="68">
        <f t="shared" si="5"/>
        <v>1802630.2833333332</v>
      </c>
      <c r="H56" s="68">
        <f>IF(A56&gt;0,IF(A56&lt;=Assumptions!$B$19,$B$12,0),0)</f>
        <v>0</v>
      </c>
      <c r="I56" s="68">
        <f t="shared" si="6"/>
        <v>1802630.2833333332</v>
      </c>
      <c r="J56" s="68">
        <f t="shared" si="7"/>
        <v>540789.08499999996</v>
      </c>
      <c r="K56" s="68">
        <f t="shared" si="8"/>
        <v>1261841.1983333332</v>
      </c>
      <c r="L56" s="69">
        <f t="shared" si="9"/>
        <v>0.16350799082655781</v>
      </c>
      <c r="M56" s="68">
        <f t="shared" si="0"/>
        <v>206321.11908165936</v>
      </c>
      <c r="N56" s="77">
        <f t="shared" si="10"/>
        <v>19145604.788333338</v>
      </c>
      <c r="O56" s="77">
        <f t="shared" si="11"/>
        <v>5116640.2382206172</v>
      </c>
      <c r="P56" s="70"/>
    </row>
    <row r="57" spans="1:16" ht="15" customHeight="1" x14ac:dyDescent="0.3">
      <c r="A57" s="71">
        <v>20</v>
      </c>
      <c r="B57" s="76">
        <v>1</v>
      </c>
      <c r="C57" s="72">
        <f t="shared" si="1"/>
        <v>15118080</v>
      </c>
      <c r="D57" s="72">
        <f t="shared" si="2"/>
        <v>13005454.666666666</v>
      </c>
      <c r="E57" s="72">
        <f t="shared" si="3"/>
        <v>309995.05000000005</v>
      </c>
      <c r="F57" s="72">
        <f t="shared" si="4"/>
        <v>13315449.716666667</v>
      </c>
      <c r="G57" s="72">
        <f t="shared" si="5"/>
        <v>1802630.2833333332</v>
      </c>
      <c r="H57" s="72">
        <f>IF(A57&gt;0,IF(A57&lt;=Assumptions!$B$19,$B$12,0),0)</f>
        <v>0</v>
      </c>
      <c r="I57" s="72">
        <f t="shared" si="6"/>
        <v>1802630.2833333332</v>
      </c>
      <c r="J57" s="72">
        <f t="shared" si="7"/>
        <v>540789.08499999996</v>
      </c>
      <c r="K57" s="78">
        <f>I57*(1-$B$13)+H57+$B$15</f>
        <v>3259158.6558333333</v>
      </c>
      <c r="L57" s="73">
        <f t="shared" si="9"/>
        <v>0.14864362802414349</v>
      </c>
      <c r="M57" s="72">
        <f t="shared" si="0"/>
        <v>484453.16690935747</v>
      </c>
      <c r="N57" s="77">
        <f t="shared" si="10"/>
        <v>22404763.444166671</v>
      </c>
      <c r="O57" s="77">
        <f t="shared" si="11"/>
        <v>5601093.4051299747</v>
      </c>
      <c r="P57" s="74" t="s">
        <v>299</v>
      </c>
    </row>
    <row r="58" spans="1:16" ht="6.75" customHeight="1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</row>
    <row r="59" spans="1:16" ht="15" customHeight="1" x14ac:dyDescent="0.3">
      <c r="A59" s="3" t="s">
        <v>300</v>
      </c>
      <c r="B59" s="3"/>
      <c r="C59" s="3"/>
      <c r="D59" s="3"/>
      <c r="E59" s="3"/>
      <c r="F59" s="3"/>
      <c r="G59" s="3"/>
      <c r="H59" s="3"/>
    </row>
    <row r="60" spans="1:16" ht="26.25" customHeight="1" x14ac:dyDescent="0.3">
      <c r="A60" s="12" t="s">
        <v>301</v>
      </c>
      <c r="B60" s="12" t="s">
        <v>9</v>
      </c>
      <c r="C60" s="12" t="s">
        <v>10</v>
      </c>
      <c r="D60" s="12" t="s">
        <v>302</v>
      </c>
      <c r="E60" s="12" t="s">
        <v>303</v>
      </c>
      <c r="F60" s="12" t="s">
        <v>304</v>
      </c>
      <c r="G60" s="12" t="s">
        <v>14</v>
      </c>
      <c r="H60" s="12" t="s">
        <v>14</v>
      </c>
    </row>
    <row r="61" spans="1:16" ht="15" customHeight="1" x14ac:dyDescent="0.3">
      <c r="A61" s="79" t="s">
        <v>305</v>
      </c>
      <c r="B61" s="80">
        <f>IFERROR(MATCH(0,N37:N57,1)-1+ABS(INDEX(N37:N57,MATCH(0,N37:N57,1)))/INDEX(K37:K57,MATCH(0,N37:N57,1)+1),"Check CF table")</f>
        <v>4.5920531005809311</v>
      </c>
      <c r="C61" s="81" t="s">
        <v>41</v>
      </c>
      <c r="D61" s="82" t="s">
        <v>306</v>
      </c>
      <c r="E61" s="81" t="s">
        <v>307</v>
      </c>
      <c r="F61" s="83" t="str">
        <f>IF(B61&lt;7,"✓ PASS","✗ REVIEW")</f>
        <v>✓ PASS</v>
      </c>
      <c r="G61" s="84"/>
      <c r="H61" s="84"/>
    </row>
    <row r="62" spans="1:16" ht="15" customHeight="1" x14ac:dyDescent="0.3">
      <c r="A62" s="79" t="s">
        <v>308</v>
      </c>
      <c r="B62" s="80">
        <f>IFERROR(MATCH(0,O37:O57,1)-1+ABS(INDEX(O37:O57,MATCH(0,O37:O57,1)))/INDEX(M38:M57,MATCH(0,O37:O57,1)),"Check CF table")</f>
        <v>6.3547836352975509</v>
      </c>
      <c r="C62" s="81" t="s">
        <v>41</v>
      </c>
      <c r="D62" s="82" t="s">
        <v>309</v>
      </c>
      <c r="E62" s="81" t="s">
        <v>310</v>
      </c>
      <c r="F62" s="83" t="str">
        <f>IF(B62&lt;10,"✓ PASS","✗ REVIEW")</f>
        <v>✓ PASS</v>
      </c>
      <c r="G62" s="84"/>
      <c r="H62" s="84"/>
    </row>
    <row r="63" spans="1:16" ht="15" customHeight="1" x14ac:dyDescent="0.3">
      <c r="A63" s="79" t="s">
        <v>311</v>
      </c>
      <c r="B63" s="85">
        <f>B27/$B$7</f>
        <v>0.14213012481164497</v>
      </c>
      <c r="C63" s="81"/>
      <c r="D63" s="82" t="s">
        <v>312</v>
      </c>
      <c r="E63" s="81" t="s">
        <v>313</v>
      </c>
      <c r="F63" s="83" t="str">
        <f>IF(B63&gt;0.1,"✓ PASS","✗ REVIEW")</f>
        <v>✓ PASS</v>
      </c>
      <c r="G63" s="84"/>
      <c r="H63" s="84"/>
    </row>
    <row r="64" spans="1:16" ht="15" customHeight="1" x14ac:dyDescent="0.3">
      <c r="A64" s="79" t="s">
        <v>314</v>
      </c>
      <c r="B64" s="27">
        <f>NPV($B$14,K38:K57)+K37</f>
        <v>5601093.4051299766</v>
      </c>
      <c r="C64" s="81" t="s">
        <v>234</v>
      </c>
      <c r="D64" s="82" t="s">
        <v>315</v>
      </c>
      <c r="E64" s="81" t="s">
        <v>316</v>
      </c>
      <c r="F64" s="83" t="str">
        <f>IF(B64&gt;0,"✓ PASS","✗ REVIEW")</f>
        <v>✓ PASS</v>
      </c>
      <c r="G64" s="84"/>
      <c r="H64" s="84"/>
    </row>
    <row r="65" spans="1:16" ht="15" customHeight="1" x14ac:dyDescent="0.3">
      <c r="A65" s="79" t="s">
        <v>317</v>
      </c>
      <c r="B65" s="85">
        <f>IRR(K37:K57)</f>
        <v>0.21640462164844831</v>
      </c>
      <c r="C65" s="81"/>
      <c r="D65" s="82" t="s">
        <v>318</v>
      </c>
      <c r="E65" s="81" t="s">
        <v>313</v>
      </c>
      <c r="F65" s="83" t="str">
        <f>IF(B65&gt;0.1,"✓ PASS","✗ REVIEW")</f>
        <v>✓ PASS</v>
      </c>
      <c r="G65" s="84"/>
      <c r="H65" s="84"/>
    </row>
    <row r="66" spans="1:16" ht="15" customHeight="1" x14ac:dyDescent="0.3">
      <c r="A66" s="79" t="s">
        <v>319</v>
      </c>
      <c r="B66" s="85">
        <f>B23/$B$11</f>
        <v>0.11923672075642762</v>
      </c>
      <c r="C66" s="81"/>
      <c r="D66" s="82" t="s">
        <v>320</v>
      </c>
      <c r="E66" s="81" t="s">
        <v>313</v>
      </c>
      <c r="F66" s="83" t="str">
        <f>IF(B66&gt;0.1,"✓ PASS","✗ REVIEW")</f>
        <v>✓ PASS</v>
      </c>
      <c r="G66" s="84"/>
      <c r="H66" s="84"/>
    </row>
    <row r="67" spans="1:16" ht="15" customHeight="1" x14ac:dyDescent="0.3">
      <c r="A67" s="79" t="s">
        <v>321</v>
      </c>
      <c r="B67" s="85">
        <f>B27/$B$11</f>
        <v>5.592317928819885E-2</v>
      </c>
      <c r="C67" s="81"/>
      <c r="D67" s="82" t="s">
        <v>322</v>
      </c>
      <c r="E67" s="81" t="s">
        <v>323</v>
      </c>
      <c r="F67" s="83" t="str">
        <f>IF(B67&gt;0.05,"✓ PASS","✗ REVIEW")</f>
        <v>✓ PASS</v>
      </c>
      <c r="G67" s="84"/>
      <c r="H67" s="84"/>
    </row>
    <row r="68" spans="1:16" ht="6.75" customHeight="1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</row>
    <row r="69" spans="1:16" ht="15" customHeight="1" x14ac:dyDescent="0.3">
      <c r="A69" s="3" t="s">
        <v>324</v>
      </c>
      <c r="B69" s="3"/>
      <c r="C69" s="3"/>
      <c r="D69" s="3"/>
      <c r="E69" s="3"/>
      <c r="F69" s="3"/>
    </row>
    <row r="70" spans="1:16" ht="26.25" customHeight="1" x14ac:dyDescent="0.3">
      <c r="A70" s="12" t="s">
        <v>8</v>
      </c>
      <c r="B70" s="12" t="s">
        <v>9</v>
      </c>
      <c r="C70" s="12" t="s">
        <v>10</v>
      </c>
      <c r="D70" s="12" t="s">
        <v>325</v>
      </c>
      <c r="E70" s="12" t="s">
        <v>14</v>
      </c>
      <c r="F70" s="12" t="s">
        <v>14</v>
      </c>
    </row>
    <row r="71" spans="1:16" ht="15" customHeight="1" x14ac:dyDescent="0.3">
      <c r="A71" s="53" t="s">
        <v>326</v>
      </c>
      <c r="B71" s="86">
        <f>$B$9+$B$12</f>
        <v>904838.05</v>
      </c>
      <c r="C71" s="54" t="s">
        <v>86</v>
      </c>
      <c r="D71" s="70" t="s">
        <v>327</v>
      </c>
      <c r="E71" s="87"/>
      <c r="F71" s="87"/>
    </row>
    <row r="72" spans="1:16" ht="15" customHeight="1" x14ac:dyDescent="0.3">
      <c r="A72" s="55" t="s">
        <v>328</v>
      </c>
      <c r="B72" s="86">
        <f>$B$8/Assumptions!B13</f>
        <v>546.26405689964156</v>
      </c>
      <c r="C72" s="56" t="s">
        <v>63</v>
      </c>
      <c r="D72" s="74" t="s">
        <v>329</v>
      </c>
      <c r="E72" s="88"/>
      <c r="F72" s="88"/>
    </row>
    <row r="73" spans="1:16" ht="15" customHeight="1" x14ac:dyDescent="0.3">
      <c r="A73" s="53" t="s">
        <v>330</v>
      </c>
      <c r="B73" s="86">
        <f>Assumptions!B32</f>
        <v>635</v>
      </c>
      <c r="C73" s="54" t="s">
        <v>63</v>
      </c>
      <c r="D73" s="70" t="s">
        <v>331</v>
      </c>
      <c r="E73" s="87"/>
      <c r="F73" s="87"/>
    </row>
    <row r="74" spans="1:16" ht="15" customHeight="1" x14ac:dyDescent="0.3">
      <c r="A74" s="55" t="s">
        <v>332</v>
      </c>
      <c r="B74" s="86">
        <f>B73-B72</f>
        <v>88.73594310035844</v>
      </c>
      <c r="C74" s="56" t="s">
        <v>63</v>
      </c>
      <c r="D74" s="74" t="s">
        <v>333</v>
      </c>
      <c r="E74" s="88"/>
      <c r="F74" s="88"/>
    </row>
    <row r="75" spans="1:16" ht="15" customHeight="1" x14ac:dyDescent="0.3">
      <c r="A75" s="53" t="s">
        <v>334</v>
      </c>
      <c r="B75" s="89">
        <f>B71/B74</f>
        <v>10196.973384016977</v>
      </c>
      <c r="C75" s="54" t="s">
        <v>26</v>
      </c>
      <c r="D75" s="70" t="s">
        <v>335</v>
      </c>
      <c r="E75" s="87"/>
      <c r="F75" s="87"/>
    </row>
    <row r="76" spans="1:16" ht="15" customHeight="1" x14ac:dyDescent="0.3">
      <c r="A76" s="55" t="s">
        <v>336</v>
      </c>
      <c r="B76" s="86">
        <f>($B$10+$B$12)/Assumptions!B13</f>
        <v>584.26968735999105</v>
      </c>
      <c r="C76" s="56" t="s">
        <v>63</v>
      </c>
      <c r="D76" s="74" t="s">
        <v>337</v>
      </c>
      <c r="E76" s="88"/>
      <c r="F76" s="88"/>
    </row>
    <row r="77" spans="1:16" ht="15" customHeight="1" x14ac:dyDescent="0.3">
      <c r="A77" s="53" t="s">
        <v>338</v>
      </c>
      <c r="B77" s="86">
        <f>B73-B76</f>
        <v>50.730312640008947</v>
      </c>
      <c r="C77" s="54" t="s">
        <v>63</v>
      </c>
      <c r="D77" s="70" t="s">
        <v>339</v>
      </c>
      <c r="E77" s="87"/>
      <c r="F77" s="87"/>
    </row>
    <row r="78" spans="1:16" ht="15" customHeight="1" x14ac:dyDescent="0.3">
      <c r="A78" s="55" t="s">
        <v>340</v>
      </c>
      <c r="B78" s="90">
        <f>B77/B73</f>
        <v>7.9890256125998343E-2</v>
      </c>
      <c r="C78" s="56" t="s">
        <v>29</v>
      </c>
      <c r="D78" s="74" t="s">
        <v>341</v>
      </c>
      <c r="E78" s="88"/>
      <c r="F78" s="88"/>
    </row>
    <row r="79" spans="1:16" ht="6.75" customHeight="1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</row>
    <row r="80" spans="1:16" ht="15" customHeight="1" x14ac:dyDescent="0.3">
      <c r="A80" s="3" t="s">
        <v>342</v>
      </c>
      <c r="B80" s="3"/>
      <c r="C80" s="3"/>
      <c r="D80" s="3"/>
      <c r="E80" s="3"/>
      <c r="F80" s="3"/>
      <c r="G80" s="3"/>
      <c r="H80" s="3"/>
    </row>
    <row r="81" spans="1:8" ht="15" customHeight="1" x14ac:dyDescent="0.3">
      <c r="A81" s="12" t="s">
        <v>343</v>
      </c>
      <c r="B81" s="12" t="s">
        <v>9</v>
      </c>
      <c r="C81" s="12" t="s">
        <v>10</v>
      </c>
      <c r="D81" s="12" t="s">
        <v>304</v>
      </c>
      <c r="E81" s="12" t="s">
        <v>343</v>
      </c>
      <c r="F81" s="12" t="s">
        <v>9</v>
      </c>
      <c r="G81" s="12" t="s">
        <v>10</v>
      </c>
      <c r="H81" s="12" t="s">
        <v>304</v>
      </c>
    </row>
    <row r="82" spans="1:8" ht="15" customHeight="1" x14ac:dyDescent="0.3">
      <c r="A82" s="91" t="s">
        <v>344</v>
      </c>
      <c r="B82" s="27">
        <f>B21</f>
        <v>15118080</v>
      </c>
      <c r="C82" s="54" t="s">
        <v>86</v>
      </c>
      <c r="D82" s="83"/>
      <c r="E82" s="91" t="s">
        <v>345</v>
      </c>
      <c r="F82" s="27">
        <f>$B$7</f>
        <v>5948430</v>
      </c>
      <c r="G82" s="54" t="s">
        <v>234</v>
      </c>
      <c r="H82" s="83"/>
    </row>
    <row r="83" spans="1:8" ht="15" customHeight="1" x14ac:dyDescent="0.3">
      <c r="A83" s="92" t="s">
        <v>346</v>
      </c>
      <c r="B83" s="27">
        <f>B22</f>
        <v>13315449.716666667</v>
      </c>
      <c r="C83" s="56" t="s">
        <v>86</v>
      </c>
      <c r="D83" s="83"/>
      <c r="E83" s="92" t="s">
        <v>347</v>
      </c>
      <c r="F83" s="80">
        <f>B61</f>
        <v>4.5920531005809311</v>
      </c>
      <c r="G83" s="56" t="s">
        <v>348</v>
      </c>
      <c r="H83" s="83" t="str">
        <f>IF(B61&lt;7,"✓","✗")</f>
        <v>✓</v>
      </c>
    </row>
    <row r="84" spans="1:8" ht="15" customHeight="1" x14ac:dyDescent="0.3">
      <c r="A84" s="91" t="s">
        <v>261</v>
      </c>
      <c r="B84" s="27">
        <f>B23</f>
        <v>1802630.2833333332</v>
      </c>
      <c r="C84" s="54" t="s">
        <v>86</v>
      </c>
      <c r="D84" s="83"/>
      <c r="E84" s="91" t="s">
        <v>349</v>
      </c>
      <c r="F84" s="80">
        <f>B62</f>
        <v>6.3547836352975509</v>
      </c>
      <c r="G84" s="54" t="s">
        <v>348</v>
      </c>
      <c r="H84" s="83" t="str">
        <f>IF(B62&lt;10,"✓","✗")</f>
        <v>✓</v>
      </c>
    </row>
    <row r="85" spans="1:8" ht="15" customHeight="1" x14ac:dyDescent="0.3">
      <c r="A85" s="92" t="s">
        <v>350</v>
      </c>
      <c r="B85" s="85">
        <f>B66</f>
        <v>0.11923672075642762</v>
      </c>
      <c r="C85" s="56" t="s">
        <v>29</v>
      </c>
      <c r="D85" s="83"/>
      <c r="E85" s="92" t="s">
        <v>351</v>
      </c>
      <c r="F85" s="85">
        <f>B63</f>
        <v>0.14213012481164497</v>
      </c>
      <c r="G85" s="56" t="s">
        <v>29</v>
      </c>
      <c r="H85" s="83" t="str">
        <f>IF(B63&gt;0.1,"✓","✗")</f>
        <v>✓</v>
      </c>
    </row>
    <row r="86" spans="1:8" ht="15" customHeight="1" x14ac:dyDescent="0.3">
      <c r="A86" s="91" t="s">
        <v>352</v>
      </c>
      <c r="B86" s="27">
        <f>B27</f>
        <v>845451.09833333327</v>
      </c>
      <c r="C86" s="54" t="s">
        <v>86</v>
      </c>
      <c r="D86" s="83"/>
      <c r="E86" s="91" t="s">
        <v>353</v>
      </c>
      <c r="F86" s="27">
        <f>B64</f>
        <v>5601093.4051299766</v>
      </c>
      <c r="G86" s="54" t="s">
        <v>234</v>
      </c>
      <c r="H86" s="83" t="str">
        <f>IF(B64&gt;0,"✓","✗")</f>
        <v>✓</v>
      </c>
    </row>
    <row r="87" spans="1:8" ht="15" customHeight="1" x14ac:dyDescent="0.3">
      <c r="A87" s="92" t="s">
        <v>354</v>
      </c>
      <c r="B87" s="27">
        <f>B33</f>
        <v>1440294.0983333332</v>
      </c>
      <c r="C87" s="56" t="s">
        <v>86</v>
      </c>
      <c r="D87" s="83"/>
      <c r="E87" s="92" t="s">
        <v>355</v>
      </c>
      <c r="F87" s="85">
        <f>B65</f>
        <v>0.21640462164844831</v>
      </c>
      <c r="G87" s="56" t="s">
        <v>29</v>
      </c>
      <c r="H87" s="83" t="str">
        <f>IF(B65&gt;0.1,"✓","✗")</f>
        <v>✓</v>
      </c>
    </row>
  </sheetData>
  <mergeCells count="9">
    <mergeCell ref="A35:P35"/>
    <mergeCell ref="A59:H59"/>
    <mergeCell ref="A69:F69"/>
    <mergeCell ref="A80:H80"/>
    <mergeCell ref="A1:P1"/>
    <mergeCell ref="A2:P2"/>
    <mergeCell ref="A5:F5"/>
    <mergeCell ref="A19:F19"/>
    <mergeCell ref="A29:F2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I58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640625" defaultRowHeight="14.4" x14ac:dyDescent="0.3"/>
  <cols>
    <col min="1" max="1" width="26" customWidth="1"/>
    <col min="2" max="6" width="18" customWidth="1"/>
    <col min="7" max="9" width="16" customWidth="1"/>
  </cols>
  <sheetData>
    <row r="1" spans="1:9" ht="30" customHeight="1" x14ac:dyDescent="0.3">
      <c r="A1" s="5" t="s">
        <v>356</v>
      </c>
      <c r="B1" s="5"/>
      <c r="C1" s="5"/>
      <c r="D1" s="5"/>
      <c r="E1" s="5"/>
      <c r="F1" s="5"/>
      <c r="G1" s="5"/>
      <c r="H1" s="5"/>
      <c r="I1" s="5"/>
    </row>
    <row r="2" spans="1:9" ht="15" customHeight="1" x14ac:dyDescent="0.3">
      <c r="A2" s="4" t="s">
        <v>357</v>
      </c>
      <c r="B2" s="4"/>
      <c r="C2" s="4"/>
      <c r="D2" s="4"/>
      <c r="E2" s="4"/>
      <c r="F2" s="4"/>
      <c r="G2" s="4"/>
      <c r="H2" s="4"/>
      <c r="I2" s="4"/>
    </row>
    <row r="3" spans="1:9" ht="15" customHeight="1" x14ac:dyDescent="0.3">
      <c r="A3" s="6" t="s">
        <v>2</v>
      </c>
      <c r="B3" s="7" t="s">
        <v>3</v>
      </c>
      <c r="C3" s="8" t="s">
        <v>4</v>
      </c>
      <c r="D3" s="9" t="s">
        <v>5</v>
      </c>
      <c r="E3" s="10" t="s">
        <v>6</v>
      </c>
    </row>
    <row r="4" spans="1:9" ht="6.75" customHeight="1" x14ac:dyDescent="0.3">
      <c r="A4" s="11"/>
      <c r="B4" s="11"/>
      <c r="C4" s="11"/>
      <c r="D4" s="11"/>
      <c r="E4" s="11"/>
      <c r="F4" s="11"/>
      <c r="G4" s="11"/>
      <c r="H4" s="11"/>
      <c r="I4" s="11"/>
    </row>
    <row r="5" spans="1:9" ht="15" customHeight="1" x14ac:dyDescent="0.3">
      <c r="A5" s="3" t="s">
        <v>358</v>
      </c>
      <c r="B5" s="3"/>
      <c r="C5" s="3"/>
      <c r="D5" s="3"/>
      <c r="E5" s="3"/>
      <c r="F5" s="3"/>
      <c r="G5" s="3"/>
      <c r="H5" s="3"/>
      <c r="I5" s="3"/>
    </row>
    <row r="6" spans="1:9" ht="15" customHeight="1" x14ac:dyDescent="0.3">
      <c r="A6" s="12" t="s">
        <v>8</v>
      </c>
      <c r="B6" s="12" t="s">
        <v>9</v>
      </c>
      <c r="C6" s="12" t="s">
        <v>10</v>
      </c>
      <c r="D6" s="12" t="s">
        <v>359</v>
      </c>
      <c r="E6" s="12" t="s">
        <v>8</v>
      </c>
      <c r="F6" s="12" t="s">
        <v>9</v>
      </c>
      <c r="G6" s="12" t="s">
        <v>10</v>
      </c>
      <c r="H6" s="12" t="s">
        <v>359</v>
      </c>
      <c r="I6" s="12" t="s">
        <v>359</v>
      </c>
    </row>
    <row r="7" spans="1:9" ht="15" customHeight="1" x14ac:dyDescent="0.3">
      <c r="A7" s="53" t="s">
        <v>345</v>
      </c>
      <c r="B7" s="41">
        <f>CAPEX!C34</f>
        <v>5948430</v>
      </c>
      <c r="C7" s="54" t="s">
        <v>234</v>
      </c>
      <c r="D7" s="93"/>
      <c r="E7" s="53" t="s">
        <v>360</v>
      </c>
      <c r="F7" s="94">
        <f>Assumptions!B31</f>
        <v>525</v>
      </c>
      <c r="G7" s="54" t="s">
        <v>63</v>
      </c>
      <c r="H7" s="87"/>
      <c r="I7" s="87"/>
    </row>
    <row r="8" spans="1:9" ht="15" customHeight="1" x14ac:dyDescent="0.3">
      <c r="A8" s="55" t="s">
        <v>346</v>
      </c>
      <c r="B8" s="41">
        <f>OPEX!D34</f>
        <v>13315449.716666667</v>
      </c>
      <c r="C8" s="56" t="s">
        <v>86</v>
      </c>
      <c r="D8" s="95"/>
      <c r="E8" s="55" t="s">
        <v>361</v>
      </c>
      <c r="F8" s="94">
        <f>Assumptions!B32</f>
        <v>635</v>
      </c>
      <c r="G8" s="56" t="s">
        <v>63</v>
      </c>
      <c r="H8" s="88"/>
      <c r="I8" s="88"/>
    </row>
    <row r="9" spans="1:9" ht="15" customHeight="1" x14ac:dyDescent="0.3">
      <c r="A9" s="53" t="s">
        <v>344</v>
      </c>
      <c r="B9" s="41">
        <f>Profitability!B21</f>
        <v>15118080</v>
      </c>
      <c r="C9" s="54" t="s">
        <v>86</v>
      </c>
      <c r="D9" s="93"/>
      <c r="E9" s="53" t="s">
        <v>362</v>
      </c>
      <c r="F9" s="96">
        <f>Assumptions!B23</f>
        <v>10</v>
      </c>
      <c r="G9" s="54" t="s">
        <v>29</v>
      </c>
      <c r="H9" s="87"/>
      <c r="I9" s="87"/>
    </row>
    <row r="10" spans="1:9" ht="15" customHeight="1" x14ac:dyDescent="0.3">
      <c r="A10" s="55" t="s">
        <v>363</v>
      </c>
      <c r="B10" s="41">
        <f>Profitability!B27</f>
        <v>845451.09833333327</v>
      </c>
      <c r="C10" s="56" t="s">
        <v>86</v>
      </c>
      <c r="D10" s="95"/>
      <c r="E10" s="55" t="s">
        <v>364</v>
      </c>
      <c r="F10" s="96">
        <f>Assumptions!B24</f>
        <v>30</v>
      </c>
      <c r="G10" s="56" t="s">
        <v>29</v>
      </c>
      <c r="H10" s="88"/>
      <c r="I10" s="88"/>
    </row>
    <row r="11" spans="1:9" ht="6.75" customHeight="1" x14ac:dyDescent="0.3">
      <c r="A11" s="11"/>
      <c r="B11" s="11"/>
      <c r="C11" s="11"/>
      <c r="D11" s="11"/>
      <c r="E11" s="11"/>
      <c r="F11" s="11"/>
      <c r="G11" s="11"/>
      <c r="H11" s="11"/>
      <c r="I11" s="11"/>
    </row>
    <row r="12" spans="1:9" ht="15" customHeight="1" x14ac:dyDescent="0.3">
      <c r="A12" s="3" t="s">
        <v>365</v>
      </c>
      <c r="B12" s="3"/>
      <c r="C12" s="3"/>
      <c r="D12" s="3"/>
      <c r="E12" s="3"/>
      <c r="F12" s="3"/>
      <c r="G12" s="3"/>
      <c r="H12" s="3"/>
      <c r="I12" s="3"/>
    </row>
    <row r="13" spans="1:9" ht="15" customHeight="1" x14ac:dyDescent="0.3">
      <c r="A13" s="1" t="s">
        <v>366</v>
      </c>
      <c r="B13" s="1"/>
      <c r="C13" s="1"/>
      <c r="D13" s="1"/>
      <c r="E13" s="1"/>
      <c r="F13" s="1"/>
      <c r="G13" s="1"/>
      <c r="H13" s="1"/>
      <c r="I13" s="1"/>
    </row>
    <row r="14" spans="1:9" ht="26.25" customHeight="1" x14ac:dyDescent="0.3">
      <c r="A14" s="12" t="s">
        <v>367</v>
      </c>
      <c r="B14" s="12" t="s">
        <v>368</v>
      </c>
      <c r="C14" s="12" t="s">
        <v>369</v>
      </c>
      <c r="D14" s="12" t="s">
        <v>370</v>
      </c>
      <c r="E14" s="12" t="s">
        <v>371</v>
      </c>
      <c r="F14" s="12" t="s">
        <v>372</v>
      </c>
      <c r="G14" s="12" t="s">
        <v>373</v>
      </c>
      <c r="H14" s="12" t="s">
        <v>374</v>
      </c>
      <c r="I14" s="12" t="s">
        <v>375</v>
      </c>
    </row>
    <row r="15" spans="1:9" ht="15" customHeight="1" x14ac:dyDescent="0.3">
      <c r="A15" s="53" t="s">
        <v>376</v>
      </c>
      <c r="B15" s="20">
        <v>508</v>
      </c>
      <c r="C15" s="68">
        <f>Assumptions!B13*B15</f>
        <v>12094464</v>
      </c>
      <c r="D15" s="68">
        <f>OPEX!D34</f>
        <v>13315449.716666667</v>
      </c>
      <c r="E15" s="68">
        <f t="shared" ref="E15:E23" si="0">C15-D15</f>
        <v>-1220985.7166666668</v>
      </c>
      <c r="F15" s="68">
        <f>E15-Profitability!B12</f>
        <v>-1815828.7166666668</v>
      </c>
      <c r="G15" s="68">
        <f>IF(F15&gt;0,F15*(1-Profitability!B13),F15)</f>
        <v>-1815828.7166666668</v>
      </c>
      <c r="H15" s="97">
        <f>IF(G15+CAPEX!B38&gt;0,CAPEX!C34/(G15+CAPEX!B38),999)</f>
        <v>999</v>
      </c>
      <c r="I15" s="98">
        <f>G15/CAPEX!C34</f>
        <v>-0.30526184500223869</v>
      </c>
    </row>
    <row r="16" spans="1:9" ht="15" customHeight="1" x14ac:dyDescent="0.3">
      <c r="A16" s="55" t="s">
        <v>377</v>
      </c>
      <c r="B16" s="20">
        <v>539.75</v>
      </c>
      <c r="C16" s="72">
        <f>Assumptions!B13*B16</f>
        <v>12850368</v>
      </c>
      <c r="D16" s="72">
        <f>OPEX!D34</f>
        <v>13315449.716666667</v>
      </c>
      <c r="E16" s="72">
        <f t="shared" si="0"/>
        <v>-465081.71666666679</v>
      </c>
      <c r="F16" s="72">
        <f>E16-Profitability!B12</f>
        <v>-1059924.7166666668</v>
      </c>
      <c r="G16" s="72">
        <f>IF(F16&gt;0,F16*(1-Profitability!B13),F16)</f>
        <v>-1059924.7166666668</v>
      </c>
      <c r="H16" s="99">
        <f>IF(G16+CAPEX!B38&gt;0,CAPEX!C34/(G16+CAPEX!B38),999)</f>
        <v>999</v>
      </c>
      <c r="I16" s="100">
        <f>G16/CAPEX!C34</f>
        <v>-0.17818562489037726</v>
      </c>
    </row>
    <row r="17" spans="1:9" ht="15" customHeight="1" x14ac:dyDescent="0.3">
      <c r="A17" s="53" t="s">
        <v>378</v>
      </c>
      <c r="B17" s="20">
        <v>571.5</v>
      </c>
      <c r="C17" s="68">
        <f>Assumptions!B13*B17</f>
        <v>13606272</v>
      </c>
      <c r="D17" s="68">
        <f>OPEX!D34</f>
        <v>13315449.716666667</v>
      </c>
      <c r="E17" s="68">
        <f t="shared" si="0"/>
        <v>290822.28333333321</v>
      </c>
      <c r="F17" s="68">
        <f>E17-Profitability!B12</f>
        <v>-304020.71666666679</v>
      </c>
      <c r="G17" s="68">
        <f>IF(F17&gt;0,F17*(1-Profitability!B13),F17)</f>
        <v>-304020.71666666679</v>
      </c>
      <c r="H17" s="97">
        <f>IF(G17+CAPEX!B38&gt;0,CAPEX!C34/(G17+CAPEX!B38),999)</f>
        <v>20.453831569646464</v>
      </c>
      <c r="I17" s="98">
        <f>G17/CAPEX!C34</f>
        <v>-5.1109404778515811E-2</v>
      </c>
    </row>
    <row r="18" spans="1:9" ht="15" customHeight="1" x14ac:dyDescent="0.3">
      <c r="A18" s="55" t="s">
        <v>379</v>
      </c>
      <c r="B18" s="20">
        <v>603.25</v>
      </c>
      <c r="C18" s="72">
        <f>Assumptions!B13*B18</f>
        <v>14362176</v>
      </c>
      <c r="D18" s="72">
        <f>OPEX!D34</f>
        <v>13315449.716666667</v>
      </c>
      <c r="E18" s="72">
        <f t="shared" si="0"/>
        <v>1046726.2833333332</v>
      </c>
      <c r="F18" s="72">
        <f>E18-Profitability!B12</f>
        <v>451883.28333333321</v>
      </c>
      <c r="G18" s="72">
        <f>IF(F18&gt;0,F18*(1-Profitability!B13),F18)</f>
        <v>316318.29833333322</v>
      </c>
      <c r="H18" s="99">
        <f>IF(G18+CAPEX!B38&gt;0,CAPEX!C34/(G18+CAPEX!B38),999)</f>
        <v>6.5284050265092208</v>
      </c>
      <c r="I18" s="100">
        <f>G18/CAPEX!C34</f>
        <v>5.3176770733341948E-2</v>
      </c>
    </row>
    <row r="19" spans="1:9" ht="15" customHeight="1" x14ac:dyDescent="0.3">
      <c r="A19" s="101" t="s">
        <v>380</v>
      </c>
      <c r="B19" s="94">
        <f>Assumptions!B32</f>
        <v>635</v>
      </c>
      <c r="C19" s="77">
        <f>Assumptions!B13*B19</f>
        <v>15118080</v>
      </c>
      <c r="D19" s="77">
        <f>OPEX!D34</f>
        <v>13315449.716666667</v>
      </c>
      <c r="E19" s="77">
        <f t="shared" si="0"/>
        <v>1802630.2833333332</v>
      </c>
      <c r="F19" s="77">
        <f>E19-Profitability!B12</f>
        <v>1207787.2833333332</v>
      </c>
      <c r="G19" s="77">
        <f>IF(F19&gt;0,F19*(1-Profitability!B13),F19)</f>
        <v>845451.09833333315</v>
      </c>
      <c r="H19" s="80">
        <f>IF(G19+CAPEX!B38&gt;0,CAPEX!C34/(G19+CAPEX!B38),999)</f>
        <v>4.1300106741278411</v>
      </c>
      <c r="I19" s="85">
        <f>G19/CAPEX!C34</f>
        <v>0.14213012481164494</v>
      </c>
    </row>
    <row r="20" spans="1:9" ht="15" customHeight="1" x14ac:dyDescent="0.3">
      <c r="A20" s="55" t="s">
        <v>381</v>
      </c>
      <c r="B20" s="20">
        <v>666.75</v>
      </c>
      <c r="C20" s="72">
        <f>Assumptions!B13*B20</f>
        <v>15873984</v>
      </c>
      <c r="D20" s="72">
        <f>OPEX!D34</f>
        <v>13315449.716666667</v>
      </c>
      <c r="E20" s="72">
        <f t="shared" si="0"/>
        <v>2558534.2833333332</v>
      </c>
      <c r="F20" s="72">
        <f>E20-Profitability!B12</f>
        <v>1963691.2833333332</v>
      </c>
      <c r="G20" s="72">
        <f>IF(F20&gt;0,F20*(1-Profitability!B13),F20)</f>
        <v>1374583.8983333332</v>
      </c>
      <c r="H20" s="99">
        <f>IF(G20+CAPEX!B38&gt;0,CAPEX!C34/(G20+CAPEX!B38),999)</f>
        <v>3.0203862885360091</v>
      </c>
      <c r="I20" s="100">
        <f>G20/CAPEX!C34</f>
        <v>0.23108347888994796</v>
      </c>
    </row>
    <row r="21" spans="1:9" ht="15" customHeight="1" x14ac:dyDescent="0.3">
      <c r="A21" s="53" t="s">
        <v>382</v>
      </c>
      <c r="B21" s="20">
        <v>698.5</v>
      </c>
      <c r="C21" s="68">
        <f>Assumptions!B13*B21</f>
        <v>16629888</v>
      </c>
      <c r="D21" s="68">
        <f>OPEX!D34</f>
        <v>13315449.716666667</v>
      </c>
      <c r="E21" s="68">
        <f t="shared" si="0"/>
        <v>3314438.2833333332</v>
      </c>
      <c r="F21" s="68">
        <f>E21-Profitability!B12</f>
        <v>2719595.2833333332</v>
      </c>
      <c r="G21" s="68">
        <f>IF(F21&gt;0,F21*(1-Profitability!B13),F21)</f>
        <v>1903716.698333333</v>
      </c>
      <c r="H21" s="97">
        <f>IF(G21+CAPEX!B38&gt;0,CAPEX!C34/(G21+CAPEX!B38),999)</f>
        <v>2.3807435955874525</v>
      </c>
      <c r="I21" s="98">
        <f>G21/CAPEX!C34</f>
        <v>0.32003683296825097</v>
      </c>
    </row>
    <row r="22" spans="1:9" ht="15" customHeight="1" x14ac:dyDescent="0.3">
      <c r="A22" s="55" t="s">
        <v>383</v>
      </c>
      <c r="B22" s="20">
        <v>730.25</v>
      </c>
      <c r="C22" s="72">
        <f>Assumptions!B13*B22</f>
        <v>17385792</v>
      </c>
      <c r="D22" s="72">
        <f>OPEX!D34</f>
        <v>13315449.716666667</v>
      </c>
      <c r="E22" s="72">
        <f t="shared" si="0"/>
        <v>4070342.2833333332</v>
      </c>
      <c r="F22" s="72">
        <f>E22-Profitability!B12</f>
        <v>3475499.2833333332</v>
      </c>
      <c r="G22" s="72">
        <f>IF(F22&gt;0,F22*(1-Profitability!B13),F22)</f>
        <v>2432849.4983333331</v>
      </c>
      <c r="H22" s="99">
        <f>IF(G22+CAPEX!B38&gt;0,CAPEX!C34/(G22+CAPEX!B38),999)</f>
        <v>1.9646744189756582</v>
      </c>
      <c r="I22" s="100">
        <f>G22/CAPEX!C34</f>
        <v>0.40899018704655399</v>
      </c>
    </row>
    <row r="23" spans="1:9" ht="15" customHeight="1" x14ac:dyDescent="0.3">
      <c r="A23" s="53" t="s">
        <v>384</v>
      </c>
      <c r="B23" s="20">
        <v>762</v>
      </c>
      <c r="C23" s="68">
        <f>Assumptions!B13*B23</f>
        <v>18141696</v>
      </c>
      <c r="D23" s="68">
        <f>OPEX!D34</f>
        <v>13315449.716666667</v>
      </c>
      <c r="E23" s="68">
        <f t="shared" si="0"/>
        <v>4826246.2833333332</v>
      </c>
      <c r="F23" s="68">
        <f>E23-Profitability!B12</f>
        <v>4231403.2833333332</v>
      </c>
      <c r="G23" s="68">
        <f>IF(F23&gt;0,F23*(1-Profitability!B13),F23)</f>
        <v>2961982.2983333329</v>
      </c>
      <c r="H23" s="97">
        <f>IF(G23+CAPEX!B38&gt;0,CAPEX!C34/(G23+CAPEX!B38),999)</f>
        <v>1.6723986985774455</v>
      </c>
      <c r="I23" s="98">
        <f>G23/CAPEX!C34</f>
        <v>0.49794354112485695</v>
      </c>
    </row>
    <row r="25" spans="1:9" ht="6.75" customHeight="1" x14ac:dyDescent="0.3">
      <c r="A25" s="11"/>
      <c r="B25" s="11"/>
      <c r="C25" s="11"/>
      <c r="D25" s="11"/>
      <c r="E25" s="11"/>
      <c r="F25" s="11"/>
      <c r="G25" s="11"/>
      <c r="H25" s="11"/>
      <c r="I25" s="11"/>
    </row>
    <row r="26" spans="1:9" ht="15" customHeight="1" x14ac:dyDescent="0.3">
      <c r="A26" s="3" t="s">
        <v>385</v>
      </c>
      <c r="B26" s="3"/>
      <c r="C26" s="3"/>
      <c r="D26" s="3"/>
      <c r="E26" s="3"/>
      <c r="F26" s="3"/>
      <c r="G26" s="3"/>
      <c r="H26" s="3"/>
      <c r="I26" s="3"/>
    </row>
    <row r="27" spans="1:9" ht="15" customHeight="1" x14ac:dyDescent="0.3">
      <c r="A27" s="1" t="s">
        <v>386</v>
      </c>
      <c r="B27" s="1"/>
      <c r="C27" s="1"/>
      <c r="D27" s="1"/>
      <c r="E27" s="1"/>
      <c r="F27" s="1"/>
      <c r="G27" s="1"/>
      <c r="H27" s="1"/>
      <c r="I27" s="1"/>
    </row>
    <row r="28" spans="1:9" ht="26.25" customHeight="1" x14ac:dyDescent="0.3">
      <c r="A28" s="12" t="s">
        <v>367</v>
      </c>
      <c r="B28" s="12" t="s">
        <v>387</v>
      </c>
      <c r="C28" s="12" t="s">
        <v>369</v>
      </c>
      <c r="D28" s="12" t="s">
        <v>370</v>
      </c>
      <c r="E28" s="12" t="s">
        <v>371</v>
      </c>
      <c r="F28" s="12" t="s">
        <v>372</v>
      </c>
      <c r="G28" s="12" t="s">
        <v>373</v>
      </c>
      <c r="H28" s="12" t="s">
        <v>374</v>
      </c>
      <c r="I28" s="12" t="s">
        <v>375</v>
      </c>
    </row>
    <row r="29" spans="1:9" ht="15" customHeight="1" x14ac:dyDescent="0.3">
      <c r="A29" s="53" t="s">
        <v>388</v>
      </c>
      <c r="B29" s="20">
        <v>420</v>
      </c>
      <c r="C29" s="68">
        <f>Profitability!B21</f>
        <v>15118080</v>
      </c>
      <c r="D29" s="68">
        <f>OPEX!D34-OPEX!D8+Assumptions!B11*B29</f>
        <v>10795449.716666667</v>
      </c>
      <c r="E29" s="68">
        <f t="shared" ref="E29:E37" si="1">C29-D29</f>
        <v>4322630.2833333332</v>
      </c>
      <c r="F29" s="68">
        <f>E29-Profitability!B12</f>
        <v>3727787.2833333332</v>
      </c>
      <c r="G29" s="68">
        <f>IF(F29&gt;0,F29*(1-Profitability!B13),F29)</f>
        <v>2609451.0983333332</v>
      </c>
      <c r="H29" s="97">
        <f>IF(G29+CAPEX!B38&gt;0,CAPEX!C34/(G29+CAPEX!B38),999)</f>
        <v>1.8563932702350852</v>
      </c>
      <c r="I29" s="98">
        <f>G29/CAPEX!C34</f>
        <v>0.43867896206786211</v>
      </c>
    </row>
    <row r="30" spans="1:9" ht="15" customHeight="1" x14ac:dyDescent="0.3">
      <c r="A30" s="55" t="s">
        <v>389</v>
      </c>
      <c r="B30" s="20">
        <v>446.25</v>
      </c>
      <c r="C30" s="72">
        <f>Profitability!B21</f>
        <v>15118080</v>
      </c>
      <c r="D30" s="72">
        <f>OPEX!D34-OPEX!D8+Assumptions!B11*B30</f>
        <v>11425449.716666667</v>
      </c>
      <c r="E30" s="72">
        <f t="shared" si="1"/>
        <v>3692630.2833333332</v>
      </c>
      <c r="F30" s="72">
        <f>E30-Profitability!B12</f>
        <v>3097787.2833333332</v>
      </c>
      <c r="G30" s="72">
        <f>IF(F30&gt;0,F30*(1-Profitability!B13),F30)</f>
        <v>2168451.0983333332</v>
      </c>
      <c r="H30" s="99">
        <f>IF(G30+CAPEX!B38&gt;0,CAPEX!C34/(G30+CAPEX!B38),999)</f>
        <v>2.1526590324163344</v>
      </c>
      <c r="I30" s="100">
        <f>G30/CAPEX!C34</f>
        <v>0.36454175275380785</v>
      </c>
    </row>
    <row r="31" spans="1:9" ht="15" customHeight="1" x14ac:dyDescent="0.3">
      <c r="A31" s="53" t="s">
        <v>390</v>
      </c>
      <c r="B31" s="20">
        <v>472.5</v>
      </c>
      <c r="C31" s="68">
        <f>Profitability!B21</f>
        <v>15118080</v>
      </c>
      <c r="D31" s="68">
        <f>OPEX!D34-OPEX!D8+Assumptions!B11*B31</f>
        <v>12055449.716666667</v>
      </c>
      <c r="E31" s="68">
        <f t="shared" si="1"/>
        <v>3062630.2833333332</v>
      </c>
      <c r="F31" s="68">
        <f>E31-Profitability!B12</f>
        <v>2467787.2833333332</v>
      </c>
      <c r="G31" s="68">
        <f>IF(F31&gt;0,F31*(1-Profitability!B13),F31)</f>
        <v>1727451.0983333332</v>
      </c>
      <c r="H31" s="97">
        <f>IF(G31+CAPEX!B38&gt;0,CAPEX!C34/(G31+CAPEX!B38),999)</f>
        <v>2.5614455999647401</v>
      </c>
      <c r="I31" s="98">
        <f>G31/CAPEX!C34</f>
        <v>0.29040454343975353</v>
      </c>
    </row>
    <row r="32" spans="1:9" ht="15" customHeight="1" x14ac:dyDescent="0.3">
      <c r="A32" s="55" t="s">
        <v>391</v>
      </c>
      <c r="B32" s="20">
        <v>498.75</v>
      </c>
      <c r="C32" s="72">
        <f>Profitability!B21</f>
        <v>15118080</v>
      </c>
      <c r="D32" s="72">
        <f>OPEX!D34-OPEX!D8+Assumptions!B11*B32</f>
        <v>12685449.716666667</v>
      </c>
      <c r="E32" s="72">
        <f t="shared" si="1"/>
        <v>2432630.2833333332</v>
      </c>
      <c r="F32" s="72">
        <f>E32-Profitability!B12</f>
        <v>1837787.2833333332</v>
      </c>
      <c r="G32" s="72">
        <f>IF(F32&gt;0,F32*(1-Profitability!B13),F32)</f>
        <v>1286451.0983333332</v>
      </c>
      <c r="H32" s="99">
        <f>IF(G32+CAPEX!B38&gt;0,CAPEX!C34/(G32+CAPEX!B38),999)</f>
        <v>3.1618820285833054</v>
      </c>
      <c r="I32" s="100">
        <f>G32/CAPEX!C34</f>
        <v>0.21626733412569923</v>
      </c>
    </row>
    <row r="33" spans="1:9" ht="15" customHeight="1" x14ac:dyDescent="0.3">
      <c r="A33" s="101" t="s">
        <v>392</v>
      </c>
      <c r="B33" s="94">
        <f>Assumptions!B31</f>
        <v>525</v>
      </c>
      <c r="C33" s="77">
        <f>Profitability!B21</f>
        <v>15118080</v>
      </c>
      <c r="D33" s="77">
        <f>OPEX!D34-OPEX!D8+Assumptions!B11*B33</f>
        <v>13315449.716666667</v>
      </c>
      <c r="E33" s="77">
        <f t="shared" si="1"/>
        <v>1802630.2833333332</v>
      </c>
      <c r="F33" s="77">
        <f>E33-Profitability!B12</f>
        <v>1207787.2833333332</v>
      </c>
      <c r="G33" s="77">
        <f>IF(F33&gt;0,F33*(1-Profitability!B13),F33)</f>
        <v>845451.09833333315</v>
      </c>
      <c r="H33" s="80">
        <f>IF(G33+CAPEX!B38&gt;0,CAPEX!C34/(G33+CAPEX!B38),999)</f>
        <v>4.1300106741278411</v>
      </c>
      <c r="I33" s="85">
        <f>G33/CAPEX!C34</f>
        <v>0.14213012481164494</v>
      </c>
    </row>
    <row r="34" spans="1:9" ht="15" customHeight="1" x14ac:dyDescent="0.3">
      <c r="A34" s="55" t="s">
        <v>393</v>
      </c>
      <c r="B34" s="20">
        <v>551.25</v>
      </c>
      <c r="C34" s="72">
        <f>Profitability!B21</f>
        <v>15118080</v>
      </c>
      <c r="D34" s="72">
        <f>OPEX!D34-OPEX!D8+Assumptions!B11*B34</f>
        <v>13945449.716666667</v>
      </c>
      <c r="E34" s="72">
        <f t="shared" si="1"/>
        <v>1172630.2833333332</v>
      </c>
      <c r="F34" s="72">
        <f>E34-Profitability!B12</f>
        <v>577787.28333333321</v>
      </c>
      <c r="G34" s="72">
        <f>IF(F34&gt;0,F34*(1-Profitability!B13),F34)</f>
        <v>404451.09833333321</v>
      </c>
      <c r="H34" s="99">
        <f>IF(G34+CAPEX!B38&gt;0,CAPEX!C34/(G34+CAPEX!B38),999)</f>
        <v>5.9526319728306758</v>
      </c>
      <c r="I34" s="100">
        <f>G34/CAPEX!C34</f>
        <v>6.7992915497590664E-2</v>
      </c>
    </row>
    <row r="35" spans="1:9" ht="15" customHeight="1" x14ac:dyDescent="0.3">
      <c r="A35" s="53" t="s">
        <v>394</v>
      </c>
      <c r="B35" s="20">
        <v>577.5</v>
      </c>
      <c r="C35" s="68">
        <f>Profitability!B21</f>
        <v>15118080</v>
      </c>
      <c r="D35" s="68">
        <f>OPEX!D34-OPEX!D8+Assumptions!B11*B35</f>
        <v>14575449.716666667</v>
      </c>
      <c r="E35" s="68">
        <f t="shared" si="1"/>
        <v>542630.28333333321</v>
      </c>
      <c r="F35" s="68">
        <f>E35-Profitability!B12</f>
        <v>-52212.716666666791</v>
      </c>
      <c r="G35" s="68">
        <f>IF(F35&gt;0,F35*(1-Profitability!B13),F35)</f>
        <v>-52212.716666666791</v>
      </c>
      <c r="H35" s="97">
        <f>IF(G35+CAPEX!B38&gt;0,CAPEX!C34/(G35+CAPEX!B38),999)</f>
        <v>10.962215310688677</v>
      </c>
      <c r="I35" s="98">
        <f>G35/CAPEX!C34</f>
        <v>-8.7775625949480431E-3</v>
      </c>
    </row>
    <row r="36" spans="1:9" ht="15" customHeight="1" x14ac:dyDescent="0.3">
      <c r="A36" s="55" t="s">
        <v>395</v>
      </c>
      <c r="B36" s="20">
        <v>603.75</v>
      </c>
      <c r="C36" s="72">
        <f>Profitability!B21</f>
        <v>15118080</v>
      </c>
      <c r="D36" s="72">
        <f>OPEX!D34-OPEX!D8+Assumptions!B11*B36</f>
        <v>15205449.716666667</v>
      </c>
      <c r="E36" s="72">
        <f t="shared" si="1"/>
        <v>-87369.716666666791</v>
      </c>
      <c r="F36" s="72">
        <f>E36-Profitability!B12</f>
        <v>-682212.71666666679</v>
      </c>
      <c r="G36" s="72">
        <f>IF(F36&gt;0,F36*(1-Profitability!B13),F36)</f>
        <v>-682212.71666666679</v>
      </c>
      <c r="H36" s="99">
        <f>IF(G36+CAPEX!B38&gt;0,CAPEX!C34/(G36+CAPEX!B38),999)</f>
        <v>999</v>
      </c>
      <c r="I36" s="100">
        <f>G36/CAPEX!C34</f>
        <v>-0.11468786161502562</v>
      </c>
    </row>
    <row r="37" spans="1:9" ht="15" customHeight="1" x14ac:dyDescent="0.3">
      <c r="A37" s="53" t="s">
        <v>396</v>
      </c>
      <c r="B37" s="20">
        <v>630</v>
      </c>
      <c r="C37" s="68">
        <f>Profitability!B21</f>
        <v>15118080</v>
      </c>
      <c r="D37" s="68">
        <f>OPEX!D34-OPEX!D8+Assumptions!B11*B37</f>
        <v>15835449.716666667</v>
      </c>
      <c r="E37" s="68">
        <f t="shared" si="1"/>
        <v>-717369.71666666679</v>
      </c>
      <c r="F37" s="68">
        <f>E37-Profitability!B12</f>
        <v>-1312212.7166666668</v>
      </c>
      <c r="G37" s="68">
        <f>IF(F37&gt;0,F37*(1-Profitability!B13),F37)</f>
        <v>-1312212.7166666668</v>
      </c>
      <c r="H37" s="97">
        <f>IF(G37+CAPEX!B38&gt;0,CAPEX!C34/(G37+CAPEX!B38),999)</f>
        <v>999</v>
      </c>
      <c r="I37" s="98">
        <f>G37/CAPEX!C34</f>
        <v>-0.22059816063510318</v>
      </c>
    </row>
    <row r="39" spans="1:9" ht="6.75" customHeight="1" x14ac:dyDescent="0.3">
      <c r="A39" s="11"/>
      <c r="B39" s="11"/>
      <c r="C39" s="11"/>
      <c r="D39" s="11"/>
      <c r="E39" s="11"/>
      <c r="F39" s="11"/>
      <c r="G39" s="11"/>
      <c r="H39" s="11"/>
      <c r="I39" s="11"/>
    </row>
    <row r="40" spans="1:9" ht="15" customHeight="1" x14ac:dyDescent="0.3">
      <c r="A40" s="3" t="s">
        <v>397</v>
      </c>
      <c r="B40" s="3"/>
      <c r="C40" s="3"/>
      <c r="D40" s="3"/>
      <c r="E40" s="3"/>
      <c r="F40" s="3"/>
      <c r="G40" s="3"/>
      <c r="H40" s="3"/>
      <c r="I40" s="3"/>
    </row>
    <row r="41" spans="1:9" ht="15" customHeight="1" x14ac:dyDescent="0.3">
      <c r="A41" s="1" t="s">
        <v>398</v>
      </c>
      <c r="B41" s="1"/>
      <c r="C41" s="1"/>
      <c r="D41" s="1"/>
      <c r="E41" s="1"/>
      <c r="F41" s="1"/>
      <c r="G41" s="1"/>
      <c r="H41" s="1"/>
      <c r="I41" s="1"/>
    </row>
    <row r="42" spans="1:9" ht="26.25" customHeight="1" x14ac:dyDescent="0.3">
      <c r="A42" s="12" t="s">
        <v>367</v>
      </c>
      <c r="B42" s="12" t="s">
        <v>399</v>
      </c>
      <c r="C42" s="12" t="s">
        <v>369</v>
      </c>
      <c r="D42" s="12" t="s">
        <v>370</v>
      </c>
      <c r="E42" s="12" t="s">
        <v>371</v>
      </c>
      <c r="F42" s="12" t="s">
        <v>372</v>
      </c>
      <c r="G42" s="12" t="s">
        <v>373</v>
      </c>
      <c r="H42" s="12" t="s">
        <v>374</v>
      </c>
      <c r="I42" s="12" t="s">
        <v>375</v>
      </c>
    </row>
    <row r="43" spans="1:9" ht="15" customHeight="1" x14ac:dyDescent="0.3">
      <c r="A43" s="53" t="s">
        <v>400</v>
      </c>
      <c r="B43" s="21">
        <v>4163901</v>
      </c>
      <c r="C43" s="68">
        <f>Profitability!B21</f>
        <v>15118080</v>
      </c>
      <c r="D43" s="68">
        <f>OPEX!D34-OPEX!D20+B43*0.03</f>
        <v>13261913.846666666</v>
      </c>
      <c r="E43" s="68">
        <f t="shared" ref="E43:E49" si="2">C43-D43</f>
        <v>1856166.1533333343</v>
      </c>
      <c r="F43" s="68">
        <f>E43-B43/Assumptions!$B$19</f>
        <v>1439776.0533333342</v>
      </c>
      <c r="G43" s="68">
        <f>IF(F43&gt;0,F43*(1-Profitability!B13),F43)</f>
        <v>1007843.2373333338</v>
      </c>
      <c r="H43" s="97">
        <f>IF(F43*(1-Profitability!$B$13)+B43/Assumptions!$B$19&gt;0,B43/F43*(1-Profitability!$B$13)+B43/Assumptions!$B$19,"N/A")</f>
        <v>416392.12443337851</v>
      </c>
      <c r="I43" s="98">
        <f>G43/CAPEX!C34</f>
        <v>0.16943012481164507</v>
      </c>
    </row>
    <row r="44" spans="1:9" ht="15" customHeight="1" x14ac:dyDescent="0.3">
      <c r="A44" s="55" t="s">
        <v>401</v>
      </c>
      <c r="B44" s="21">
        <v>4758744</v>
      </c>
      <c r="C44" s="72">
        <f>Profitability!B21</f>
        <v>15118080</v>
      </c>
      <c r="D44" s="72">
        <f>OPEX!D34-OPEX!D20+B44*0.03</f>
        <v>13279759.136666667</v>
      </c>
      <c r="E44" s="72">
        <f t="shared" si="2"/>
        <v>1838320.8633333333</v>
      </c>
      <c r="F44" s="72">
        <f>E44-B44/Assumptions!$B$19</f>
        <v>1362446.4633333334</v>
      </c>
      <c r="G44" s="72">
        <f>IF(F44&gt;0,F44*(1-Profitability!B13),F44)</f>
        <v>953712.52433333325</v>
      </c>
      <c r="H44" s="99">
        <f>IF(F44*(1-Profitability!$B$13)+B44/Assumptions!$B$19&gt;0,B44/F44*(1-Profitability!$B$13)+B44/Assumptions!$B$19,"N/A")</f>
        <v>475876.84495537233</v>
      </c>
      <c r="I44" s="100">
        <f>G44/CAPEX!C34</f>
        <v>0.16033012481164496</v>
      </c>
    </row>
    <row r="45" spans="1:9" ht="15" customHeight="1" x14ac:dyDescent="0.3">
      <c r="A45" s="53" t="s">
        <v>402</v>
      </c>
      <c r="B45" s="21">
        <v>5353587</v>
      </c>
      <c r="C45" s="68">
        <f>Profitability!B21</f>
        <v>15118080</v>
      </c>
      <c r="D45" s="68">
        <f>OPEX!D34-OPEX!D20+B45*0.03</f>
        <v>13297604.426666666</v>
      </c>
      <c r="E45" s="68">
        <f t="shared" si="2"/>
        <v>1820475.5733333342</v>
      </c>
      <c r="F45" s="68">
        <f>E45-B45/Assumptions!$B$19</f>
        <v>1285116.8733333342</v>
      </c>
      <c r="G45" s="68">
        <f>IF(F45&gt;0,F45*(1-Profitability!B13),F45)</f>
        <v>899581.81133333396</v>
      </c>
      <c r="H45" s="97">
        <f>IF(F45*(1-Profitability!$B$13)+B45/Assumptions!$B$19&gt;0,B45/F45*(1-Profitability!$B$13)+B45/Assumptions!$B$19,"N/A")</f>
        <v>535361.616085671</v>
      </c>
      <c r="I45" s="98">
        <f>G45/CAPEX!C34</f>
        <v>0.15123012481164508</v>
      </c>
    </row>
    <row r="46" spans="1:9" ht="15" customHeight="1" x14ac:dyDescent="0.3">
      <c r="A46" s="101" t="s">
        <v>403</v>
      </c>
      <c r="B46" s="41">
        <f>CAPEX!C34</f>
        <v>5948430</v>
      </c>
      <c r="C46" s="77">
        <f>Profitability!B21</f>
        <v>15118080</v>
      </c>
      <c r="D46" s="77">
        <f>OPEX!D34-OPEX!D20+B46*0.03</f>
        <v>13315449.716666667</v>
      </c>
      <c r="E46" s="77">
        <f t="shared" si="2"/>
        <v>1802630.2833333332</v>
      </c>
      <c r="F46" s="77">
        <f>E46-B46/Assumptions!$B$19</f>
        <v>1207787.2833333332</v>
      </c>
      <c r="G46" s="77">
        <f>IF(F46&gt;0,F46*(1-Profitability!B13),F46)</f>
        <v>845451.09833333315</v>
      </c>
      <c r="H46" s="80">
        <f>IF(F46*(1-Profitability!$B$13)+B46/Assumptions!$B$19&gt;0,B46/F46*(1-Profitability!$B$13)+B46/Assumptions!$B$19,"N/A")</f>
        <v>594846.44754499197</v>
      </c>
      <c r="I46" s="85">
        <f>G46/CAPEX!C34</f>
        <v>0.14213012481164494</v>
      </c>
    </row>
    <row r="47" spans="1:9" ht="15" customHeight="1" x14ac:dyDescent="0.3">
      <c r="A47" s="53" t="s">
        <v>404</v>
      </c>
      <c r="B47" s="21">
        <v>6543273</v>
      </c>
      <c r="C47" s="68">
        <f>Profitability!B21</f>
        <v>15118080</v>
      </c>
      <c r="D47" s="68">
        <f>OPEX!D34-OPEX!D20+B47*0.03</f>
        <v>13333295.006666666</v>
      </c>
      <c r="E47" s="68">
        <f t="shared" si="2"/>
        <v>1784784.9933333341</v>
      </c>
      <c r="F47" s="68">
        <f>E47-B47/Assumptions!$B$19</f>
        <v>1130457.6933333341</v>
      </c>
      <c r="G47" s="68">
        <f>IF(F47&gt;0,F47*(1-Profitability!B13),F47)</f>
        <v>791320.38533333375</v>
      </c>
      <c r="H47" s="97">
        <f>IF(F47*(1-Profitability!$B$13)+B47/Assumptions!$B$19&gt;0,B47/F47*(1-Profitability!$B$13)+B47/Assumptions!$B$19,"N/A")</f>
        <v>654331.35171385633</v>
      </c>
      <c r="I47" s="98">
        <f>G47/CAPEX!C34</f>
        <v>0.13303012481164506</v>
      </c>
    </row>
    <row r="48" spans="1:9" ht="15" customHeight="1" x14ac:dyDescent="0.3">
      <c r="A48" s="55" t="s">
        <v>405</v>
      </c>
      <c r="B48" s="21">
        <v>7138116</v>
      </c>
      <c r="C48" s="72">
        <f>Profitability!B21</f>
        <v>15118080</v>
      </c>
      <c r="D48" s="72">
        <f>OPEX!D34-OPEX!D20+B48*0.03</f>
        <v>13351140.296666667</v>
      </c>
      <c r="E48" s="72">
        <f t="shared" si="2"/>
        <v>1766939.7033333331</v>
      </c>
      <c r="F48" s="72">
        <f>E48-B48/Assumptions!$B$19</f>
        <v>1053128.103333333</v>
      </c>
      <c r="G48" s="72">
        <f>IF(F48&gt;0,F48*(1-Profitability!B13),F48)</f>
        <v>737189.67233333306</v>
      </c>
      <c r="H48" s="99">
        <f>IF(F48*(1-Profitability!$B$13)+B48/Assumptions!$B$19&gt;0,B48/F48*(1-Profitability!$B$13)+B48/Assumptions!$B$19,"N/A")</f>
        <v>713816.34460911655</v>
      </c>
      <c r="I48" s="100">
        <f>G48/CAPEX!C34</f>
        <v>0.12393012481164493</v>
      </c>
    </row>
    <row r="49" spans="1:9" ht="15" customHeight="1" x14ac:dyDescent="0.3">
      <c r="A49" s="53" t="s">
        <v>406</v>
      </c>
      <c r="B49" s="21">
        <v>7732959</v>
      </c>
      <c r="C49" s="68">
        <f>Profitability!B21</f>
        <v>15118080</v>
      </c>
      <c r="D49" s="68">
        <f>OPEX!D34-OPEX!D20+B49*0.03</f>
        <v>13368985.586666666</v>
      </c>
      <c r="E49" s="68">
        <f t="shared" si="2"/>
        <v>1749094.413333334</v>
      </c>
      <c r="F49" s="68">
        <f>E49-B49/Assumptions!$B$19</f>
        <v>975798.51333333401</v>
      </c>
      <c r="G49" s="68">
        <f>IF(F49&gt;0,F49*(1-Profitability!B13),F49)</f>
        <v>683058.95933333377</v>
      </c>
      <c r="H49" s="97">
        <f>IF(F49*(1-Profitability!$B$13)+B49/Assumptions!$B$19&gt;0,B49/F49*(1-Profitability!$B$13)+B49/Assumptions!$B$19,"N/A")</f>
        <v>773301.44732480741</v>
      </c>
      <c r="I49" s="98">
        <f>G49/CAPEX!C34</f>
        <v>0.11483012481164505</v>
      </c>
    </row>
    <row r="51" spans="1:9" ht="6.75" customHeight="1" x14ac:dyDescent="0.3">
      <c r="A51" s="11"/>
      <c r="B51" s="11"/>
      <c r="C51" s="11"/>
      <c r="D51" s="11"/>
      <c r="E51" s="11"/>
      <c r="F51" s="11"/>
      <c r="G51" s="11"/>
      <c r="H51" s="11"/>
      <c r="I51" s="11"/>
    </row>
    <row r="52" spans="1:9" ht="15" customHeight="1" x14ac:dyDescent="0.3">
      <c r="A52" s="3" t="s">
        <v>407</v>
      </c>
      <c r="B52" s="3"/>
      <c r="C52" s="3"/>
      <c r="D52" s="3"/>
      <c r="E52" s="3"/>
      <c r="F52" s="3"/>
      <c r="G52" s="3"/>
      <c r="H52" s="3"/>
      <c r="I52" s="3"/>
    </row>
    <row r="53" spans="1:9" ht="26.25" customHeight="1" x14ac:dyDescent="0.3">
      <c r="A53" s="12" t="s">
        <v>218</v>
      </c>
      <c r="B53" s="12" t="s">
        <v>408</v>
      </c>
      <c r="C53" s="12" t="s">
        <v>409</v>
      </c>
      <c r="D53" s="12" t="s">
        <v>410</v>
      </c>
      <c r="E53" s="12" t="s">
        <v>411</v>
      </c>
      <c r="F53" s="12" t="s">
        <v>412</v>
      </c>
      <c r="G53" s="12" t="s">
        <v>413</v>
      </c>
      <c r="H53" s="12" t="s">
        <v>14</v>
      </c>
      <c r="I53" s="12" t="s">
        <v>14</v>
      </c>
    </row>
    <row r="54" spans="1:9" ht="15" customHeight="1" x14ac:dyDescent="0.3">
      <c r="A54" s="53" t="s">
        <v>414</v>
      </c>
      <c r="B54" s="54" t="s">
        <v>415</v>
      </c>
      <c r="C54" s="54" t="s">
        <v>415</v>
      </c>
      <c r="D54" s="54" t="s">
        <v>415</v>
      </c>
      <c r="E54" s="54" t="s">
        <v>415</v>
      </c>
      <c r="F54" s="54" t="s">
        <v>416</v>
      </c>
      <c r="G54" s="102">
        <v>1</v>
      </c>
      <c r="H54" s="87"/>
      <c r="I54" s="87"/>
    </row>
    <row r="55" spans="1:9" ht="15" customHeight="1" x14ac:dyDescent="0.3">
      <c r="A55" s="55" t="s">
        <v>417</v>
      </c>
      <c r="B55" s="56" t="s">
        <v>415</v>
      </c>
      <c r="C55" s="56" t="s">
        <v>415</v>
      </c>
      <c r="D55" s="56" t="s">
        <v>415</v>
      </c>
      <c r="E55" s="56" t="s">
        <v>415</v>
      </c>
      <c r="F55" s="56" t="s">
        <v>416</v>
      </c>
      <c r="G55" s="102">
        <v>2</v>
      </c>
      <c r="H55" s="88"/>
      <c r="I55" s="88"/>
    </row>
    <row r="56" spans="1:9" ht="15" customHeight="1" x14ac:dyDescent="0.3">
      <c r="A56" s="53" t="s">
        <v>418</v>
      </c>
      <c r="B56" s="54" t="s">
        <v>415</v>
      </c>
      <c r="C56" s="54" t="s">
        <v>415</v>
      </c>
      <c r="D56" s="54" t="s">
        <v>415</v>
      </c>
      <c r="E56" s="54" t="s">
        <v>415</v>
      </c>
      <c r="F56" s="54" t="s">
        <v>416</v>
      </c>
      <c r="G56" s="102">
        <v>3</v>
      </c>
      <c r="H56" s="87"/>
      <c r="I56" s="87"/>
    </row>
    <row r="57" spans="1:9" ht="15" customHeight="1" x14ac:dyDescent="0.3">
      <c r="A57" s="55" t="s">
        <v>419</v>
      </c>
      <c r="B57" s="56" t="s">
        <v>415</v>
      </c>
      <c r="C57" s="56" t="s">
        <v>415</v>
      </c>
      <c r="D57" s="56" t="s">
        <v>415</v>
      </c>
      <c r="E57" s="56" t="s">
        <v>415</v>
      </c>
      <c r="F57" s="56" t="s">
        <v>416</v>
      </c>
      <c r="G57" s="102">
        <v>4</v>
      </c>
      <c r="H57" s="88"/>
      <c r="I57" s="88"/>
    </row>
    <row r="58" spans="1:9" ht="15" customHeight="1" x14ac:dyDescent="0.3">
      <c r="A58" s="53" t="s">
        <v>420</v>
      </c>
      <c r="B58" s="54" t="s">
        <v>415</v>
      </c>
      <c r="C58" s="54" t="s">
        <v>415</v>
      </c>
      <c r="D58" s="54" t="s">
        <v>415</v>
      </c>
      <c r="E58" s="54" t="s">
        <v>415</v>
      </c>
      <c r="F58" s="54" t="s">
        <v>416</v>
      </c>
      <c r="G58" s="102">
        <v>5</v>
      </c>
      <c r="H58" s="87"/>
      <c r="I58" s="87"/>
    </row>
  </sheetData>
  <mergeCells count="10">
    <mergeCell ref="A26:I26"/>
    <mergeCell ref="A27:I27"/>
    <mergeCell ref="A40:I40"/>
    <mergeCell ref="A41:I41"/>
    <mergeCell ref="A52:I52"/>
    <mergeCell ref="A1:I1"/>
    <mergeCell ref="A2:I2"/>
    <mergeCell ref="A5:I5"/>
    <mergeCell ref="A12:I12"/>
    <mergeCell ref="A13:I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CAPEX</vt:lpstr>
      <vt:lpstr>OPEX</vt:lpstr>
      <vt:lpstr>Profitability</vt:lpstr>
      <vt:lpstr>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Aarav Gupta</cp:lastModifiedBy>
  <cp:revision>0</cp:revision>
  <dcterms:created xsi:type="dcterms:W3CDTF">2026-04-13T05:14:12Z</dcterms:created>
  <dcterms:modified xsi:type="dcterms:W3CDTF">2026-04-14T18:19:04Z</dcterms:modified>
  <dc:language>en-US</dc:language>
</cp:coreProperties>
</file>